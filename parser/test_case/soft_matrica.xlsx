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ндрюшка-Мишка\Desktop\проект задача Наташи Б\parser\test_case\"/>
    </mc:Choice>
  </mc:AlternateContent>
  <xr:revisionPtr revIDLastSave="0" documentId="13_ncr:1_{AE3B616E-7878-437F-9E72-4D8E883EF30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Основные сведения + цели" sheetId="2" r:id="rId1"/>
    <sheet name="Самооценка сотрудника" sheetId="3" r:id="rId2"/>
    <sheet name="Удовлетворенность сотрудника" sheetId="7" r:id="rId3"/>
    <sheet name="Оценка коллег" sheetId="10" r:id="rId4"/>
    <sheet name="Коллеги_%" sheetId="5" r:id="rId5"/>
    <sheet name="Матрица1" sheetId="12" r:id="rId6"/>
    <sheet name="Матрица soft skills" sheetId="11" r:id="rId7"/>
    <sheet name="Коллеги_комментарии" sheetId="8" r:id="rId8"/>
    <sheet name="Коллеги_похвала и что улучшить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1" l="1"/>
  <c r="B10" i="7"/>
  <c r="A75" i="10" l="1"/>
  <c r="A10" i="9" l="1"/>
  <c r="A6" i="9"/>
  <c r="A93" i="10"/>
  <c r="A87" i="10"/>
  <c r="A70" i="10"/>
  <c r="A66" i="10"/>
  <c r="A60" i="10"/>
  <c r="A54" i="10"/>
  <c r="A48" i="10"/>
  <c r="A42" i="10"/>
  <c r="CS27" i="10"/>
  <c r="CS30" i="10" s="1"/>
  <c r="E114" i="5" s="1"/>
  <c r="CT27" i="10"/>
  <c r="CT30" i="10" s="1"/>
  <c r="E115" i="5" s="1"/>
  <c r="CU27" i="10"/>
  <c r="CU30" i="10" s="1"/>
  <c r="E116" i="5" s="1"/>
  <c r="CV27" i="10"/>
  <c r="CV30" i="10" s="1"/>
  <c r="E117" i="5" s="1"/>
  <c r="CS26" i="10"/>
  <c r="CS29" i="10" s="1"/>
  <c r="D114" i="5" s="1"/>
  <c r="F30" i="11" s="1"/>
  <c r="CT26" i="10"/>
  <c r="CT29" i="10" s="1"/>
  <c r="D115" i="5" s="1"/>
  <c r="F32" i="11" s="1"/>
  <c r="CU26" i="10"/>
  <c r="CU29" i="10" s="1"/>
  <c r="D116" i="5" s="1"/>
  <c r="H30" i="11" s="1"/>
  <c r="CV26" i="10"/>
  <c r="CV29" i="10" s="1"/>
  <c r="D117" i="5" s="1"/>
  <c r="F31" i="11" s="1"/>
  <c r="CS25" i="10"/>
  <c r="CS28" i="10" s="1"/>
  <c r="C114" i="5" s="1"/>
  <c r="F25" i="12" s="1"/>
  <c r="CT25" i="10"/>
  <c r="CT28" i="10" s="1"/>
  <c r="C115" i="5" s="1"/>
  <c r="F27" i="12" s="1"/>
  <c r="CU25" i="10"/>
  <c r="CU28" i="10" s="1"/>
  <c r="C116" i="5" s="1"/>
  <c r="H25" i="12" s="1"/>
  <c r="CV25" i="10"/>
  <c r="CV28" i="10" s="1"/>
  <c r="C117" i="5" s="1"/>
  <c r="F26" i="12" s="1"/>
  <c r="CN27" i="10"/>
  <c r="CN30" i="10" s="1"/>
  <c r="E98" i="5" s="1"/>
  <c r="CN26" i="10"/>
  <c r="CN29" i="10" s="1"/>
  <c r="D98" i="5" s="1"/>
  <c r="D20" i="11" s="1"/>
  <c r="CN25" i="10"/>
  <c r="CN28" i="10" s="1"/>
  <c r="C98" i="5" s="1"/>
  <c r="D15" i="12" s="1"/>
  <c r="BY27" i="10"/>
  <c r="BY30" i="10" s="1"/>
  <c r="E110" i="5" s="1"/>
  <c r="BY26" i="10"/>
  <c r="BY29" i="10" s="1"/>
  <c r="D110" i="5" s="1"/>
  <c r="J34" i="11" s="1"/>
  <c r="BY25" i="10"/>
  <c r="BY28" i="10" s="1"/>
  <c r="C110" i="5" s="1"/>
  <c r="J29" i="12" s="1"/>
  <c r="BJ27" i="10"/>
  <c r="BJ30" i="10" s="1"/>
  <c r="E69" i="5" s="1"/>
  <c r="BK27" i="10"/>
  <c r="BK30" i="10" s="1"/>
  <c r="E70" i="5" s="1"/>
  <c r="BJ26" i="10"/>
  <c r="BJ29" i="10" s="1"/>
  <c r="D69" i="5" s="1"/>
  <c r="J23" i="11" s="1"/>
  <c r="BK26" i="10"/>
  <c r="BK29" i="10" s="1"/>
  <c r="D70" i="5" s="1"/>
  <c r="J24" i="11" s="1"/>
  <c r="BJ25" i="10"/>
  <c r="BJ28" i="10" s="1"/>
  <c r="C69" i="5" s="1"/>
  <c r="J18" i="12" s="1"/>
  <c r="BK25" i="10"/>
  <c r="BK28" i="10" s="1"/>
  <c r="C70" i="5" s="1"/>
  <c r="J19" i="12" s="1"/>
  <c r="AT27" i="10"/>
  <c r="AT30" i="10" s="1"/>
  <c r="E50" i="5" s="1"/>
  <c r="AT26" i="10"/>
  <c r="AT29" i="10" s="1"/>
  <c r="D50" i="5" s="1"/>
  <c r="F13" i="11" s="1"/>
  <c r="AT25" i="10"/>
  <c r="AT28" i="10" s="1"/>
  <c r="C50" i="5" s="1"/>
  <c r="F8" i="12" s="1"/>
  <c r="B9" i="7"/>
  <c r="B8" i="7"/>
  <c r="B7" i="7"/>
  <c r="B6" i="7"/>
  <c r="B5" i="7"/>
  <c r="B4" i="7"/>
  <c r="B3" i="7"/>
  <c r="B2" i="7"/>
  <c r="B5" i="2" l="1"/>
  <c r="A3" i="8" l="1"/>
  <c r="B10" i="5"/>
  <c r="A81" i="10"/>
  <c r="AW27" i="10"/>
  <c r="AW30" i="10" s="1"/>
  <c r="E56" i="5" s="1"/>
  <c r="AX27" i="10"/>
  <c r="AX30" i="10" s="1"/>
  <c r="E57" i="5" s="1"/>
  <c r="AY27" i="10"/>
  <c r="AY30" i="10" s="1"/>
  <c r="E58" i="5" s="1"/>
  <c r="AZ27" i="10"/>
  <c r="AZ30" i="10" s="1"/>
  <c r="E59" i="5" s="1"/>
  <c r="BA27" i="10"/>
  <c r="BA30" i="10" s="1"/>
  <c r="E60" i="5" s="1"/>
  <c r="BB27" i="10"/>
  <c r="BB30" i="10" s="1"/>
  <c r="E61" i="5" s="1"/>
  <c r="BC27" i="10"/>
  <c r="BC30" i="10" s="1"/>
  <c r="E62" i="5" s="1"/>
  <c r="BD27" i="10"/>
  <c r="BD30" i="10" s="1"/>
  <c r="E63" i="5" s="1"/>
  <c r="BE27" i="10"/>
  <c r="BE30" i="10" s="1"/>
  <c r="E64" i="5" s="1"/>
  <c r="BF27" i="10"/>
  <c r="BF30" i="10" s="1"/>
  <c r="E65" i="5" s="1"/>
  <c r="BG27" i="10"/>
  <c r="BG30" i="10" s="1"/>
  <c r="E66" i="5" s="1"/>
  <c r="BH27" i="10"/>
  <c r="BH30" i="10" s="1"/>
  <c r="E67" i="5" s="1"/>
  <c r="BI27" i="10"/>
  <c r="BI30" i="10" s="1"/>
  <c r="E68" i="5" s="1"/>
  <c r="BM27" i="10"/>
  <c r="BM30" i="10" s="1"/>
  <c r="E88" i="5" s="1"/>
  <c r="BN27" i="10"/>
  <c r="BN30" i="10" s="1"/>
  <c r="E89" i="5" s="1"/>
  <c r="BO27" i="10"/>
  <c r="BO30" i="10" s="1"/>
  <c r="E90" i="5" s="1"/>
  <c r="BP27" i="10"/>
  <c r="BP30" i="10" s="1"/>
  <c r="E91" i="5" s="1"/>
  <c r="BQ27" i="10"/>
  <c r="BQ30" i="10" s="1"/>
  <c r="E92" i="5" s="1"/>
  <c r="BR27" i="10"/>
  <c r="BR30" i="10" s="1"/>
  <c r="E93" i="5" s="1"/>
  <c r="BS27" i="10"/>
  <c r="BS30" i="10" s="1"/>
  <c r="BT27" i="10"/>
  <c r="BT30" i="10" s="1"/>
  <c r="E105" i="5" s="1"/>
  <c r="BU27" i="10"/>
  <c r="BU30" i="10" s="1"/>
  <c r="E106" i="5" s="1"/>
  <c r="BV27" i="10"/>
  <c r="BV30" i="10" s="1"/>
  <c r="E107" i="5" s="1"/>
  <c r="BW27" i="10"/>
  <c r="BW30" i="10" s="1"/>
  <c r="E108" i="5" s="1"/>
  <c r="BX27" i="10"/>
  <c r="BX30" i="10" s="1"/>
  <c r="E109" i="5" s="1"/>
  <c r="CA27" i="10"/>
  <c r="CA30" i="10" s="1"/>
  <c r="E74" i="5" s="1"/>
  <c r="CB27" i="10"/>
  <c r="CB30" i="10" s="1"/>
  <c r="E75" i="5" s="1"/>
  <c r="CC27" i="10"/>
  <c r="CC30" i="10" s="1"/>
  <c r="E76" i="5" s="1"/>
  <c r="CD27" i="10"/>
  <c r="CD30" i="10" s="1"/>
  <c r="E77" i="5" s="1"/>
  <c r="CE27" i="10"/>
  <c r="CE30" i="10" s="1"/>
  <c r="E78" i="5" s="1"/>
  <c r="CF27" i="10"/>
  <c r="CF30" i="10" s="1"/>
  <c r="E79" i="5" s="1"/>
  <c r="CG27" i="10"/>
  <c r="CG30" i="10" s="1"/>
  <c r="E80" i="5" s="1"/>
  <c r="CH27" i="10"/>
  <c r="CH30" i="10" s="1"/>
  <c r="E81" i="5" s="1"/>
  <c r="CI27" i="10"/>
  <c r="CI30" i="10" s="1"/>
  <c r="E82" i="5" s="1"/>
  <c r="CJ27" i="10"/>
  <c r="CJ30" i="10" s="1"/>
  <c r="E83" i="5" s="1"/>
  <c r="CK27" i="10"/>
  <c r="CK30" i="10" s="1"/>
  <c r="E84" i="5" s="1"/>
  <c r="CM27" i="10"/>
  <c r="CM30" i="10" s="1"/>
  <c r="E97" i="5" s="1"/>
  <c r="CO27" i="10"/>
  <c r="CO30" i="10" s="1"/>
  <c r="E99" i="5" s="1"/>
  <c r="CP27" i="10"/>
  <c r="CP30" i="10" s="1"/>
  <c r="E100" i="5" s="1"/>
  <c r="CQ27" i="10"/>
  <c r="CQ30" i="10" s="1"/>
  <c r="E101" i="5" s="1"/>
  <c r="BD26" i="10"/>
  <c r="BD29" i="10" s="1"/>
  <c r="D63" i="5" s="1"/>
  <c r="D24" i="11" s="1"/>
  <c r="BE26" i="10"/>
  <c r="BE29" i="10" s="1"/>
  <c r="D64" i="5" s="1"/>
  <c r="H26" i="11" s="1"/>
  <c r="BF26" i="10"/>
  <c r="BF29" i="10" s="1"/>
  <c r="D65" i="5" s="1"/>
  <c r="H27" i="11" s="1"/>
  <c r="BG26" i="10"/>
  <c r="BG29" i="10" s="1"/>
  <c r="D66" i="5" s="1"/>
  <c r="D25" i="11" s="1"/>
  <c r="BH26" i="10"/>
  <c r="BH29" i="10" s="1"/>
  <c r="D67" i="5" s="1"/>
  <c r="D26" i="11" s="1"/>
  <c r="BI26" i="10"/>
  <c r="BI29" i="10" s="1"/>
  <c r="D68" i="5" s="1"/>
  <c r="B24" i="11" s="1"/>
  <c r="BM26" i="10"/>
  <c r="BM29" i="10" s="1"/>
  <c r="D88" i="5" s="1"/>
  <c r="F28" i="11" s="1"/>
  <c r="BN26" i="10"/>
  <c r="BN29" i="10" s="1"/>
  <c r="D89" i="5" s="1"/>
  <c r="F29" i="11" s="1"/>
  <c r="BO26" i="10"/>
  <c r="BO29" i="10" s="1"/>
  <c r="D90" i="5" s="1"/>
  <c r="H28" i="11" s="1"/>
  <c r="BP26" i="10"/>
  <c r="BP29" i="10" s="1"/>
  <c r="D91" i="5" s="1"/>
  <c r="B28" i="11" s="1"/>
  <c r="BQ26" i="10"/>
  <c r="BQ29" i="10" s="1"/>
  <c r="D92" i="5" s="1"/>
  <c r="D28" i="11" s="1"/>
  <c r="BR26" i="10"/>
  <c r="BR29" i="10" s="1"/>
  <c r="D93" i="5" s="1"/>
  <c r="H29" i="11" s="1"/>
  <c r="BS26" i="10"/>
  <c r="BS29" i="10" s="1"/>
  <c r="BT26" i="10"/>
  <c r="BT29" i="10" s="1"/>
  <c r="D105" i="5" s="1"/>
  <c r="B33" i="11" s="1"/>
  <c r="BU26" i="10"/>
  <c r="BU29" i="10" s="1"/>
  <c r="D106" i="5" s="1"/>
  <c r="D33" i="11" s="1"/>
  <c r="BV26" i="10"/>
  <c r="BV29" i="10" s="1"/>
  <c r="D107" i="5" s="1"/>
  <c r="D34" i="11" s="1"/>
  <c r="BW26" i="10"/>
  <c r="BW29" i="10" s="1"/>
  <c r="D108" i="5" s="1"/>
  <c r="H33" i="11" s="1"/>
  <c r="BX26" i="10"/>
  <c r="BX29" i="10" s="1"/>
  <c r="D109" i="5" s="1"/>
  <c r="J33" i="11" s="1"/>
  <c r="CA26" i="10"/>
  <c r="CA29" i="10" s="1"/>
  <c r="D74" i="5" s="1"/>
  <c r="B16" i="11" s="1"/>
  <c r="CB26" i="10"/>
  <c r="CB29" i="10" s="1"/>
  <c r="D75" i="5" s="1"/>
  <c r="D16" i="11" s="1"/>
  <c r="CC26" i="10"/>
  <c r="CC29" i="10" s="1"/>
  <c r="D76" i="5" s="1"/>
  <c r="H16" i="11" s="1"/>
  <c r="CD26" i="10"/>
  <c r="CD29" i="10" s="1"/>
  <c r="D77" i="5" s="1"/>
  <c r="B17" i="11" s="1"/>
  <c r="CE26" i="10"/>
  <c r="CE29" i="10" s="1"/>
  <c r="D78" i="5" s="1"/>
  <c r="D17" i="11" s="1"/>
  <c r="CF26" i="10"/>
  <c r="CF29" i="10" s="1"/>
  <c r="D79" i="5" s="1"/>
  <c r="D18" i="11" s="1"/>
  <c r="CG26" i="10"/>
  <c r="CG29" i="10" s="1"/>
  <c r="D80" i="5" s="1"/>
  <c r="F17" i="11" s="1"/>
  <c r="CH26" i="10"/>
  <c r="CH29" i="10" s="1"/>
  <c r="D81" i="5" s="1"/>
  <c r="F18" i="11" s="1"/>
  <c r="CI26" i="10"/>
  <c r="CI29" i="10" s="1"/>
  <c r="D82" i="5" s="1"/>
  <c r="F19" i="11" s="1"/>
  <c r="CJ26" i="10"/>
  <c r="CJ29" i="10" s="1"/>
  <c r="D83" i="5" s="1"/>
  <c r="J16" i="11" s="1"/>
  <c r="CK26" i="10"/>
  <c r="CK29" i="10" s="1"/>
  <c r="D84" i="5" s="1"/>
  <c r="B18" i="11" s="1"/>
  <c r="CM26" i="10"/>
  <c r="CM29" i="10" s="1"/>
  <c r="D97" i="5" s="1"/>
  <c r="B20" i="11" s="1"/>
  <c r="CO26" i="10"/>
  <c r="CO29" i="10" s="1"/>
  <c r="D99" i="5" s="1"/>
  <c r="CP26" i="10"/>
  <c r="CP29" i="10" s="1"/>
  <c r="D100" i="5" s="1"/>
  <c r="D21" i="11" s="1"/>
  <c r="CQ26" i="10"/>
  <c r="CQ29" i="10" s="1"/>
  <c r="D101" i="5" s="1"/>
  <c r="F21" i="11" s="1"/>
  <c r="BD25" i="10"/>
  <c r="BD28" i="10" s="1"/>
  <c r="C63" i="5" s="1"/>
  <c r="D19" i="12" s="1"/>
  <c r="BE25" i="10"/>
  <c r="BE28" i="10" s="1"/>
  <c r="C64" i="5" s="1"/>
  <c r="H21" i="12" s="1"/>
  <c r="BF25" i="10"/>
  <c r="BF28" i="10" s="1"/>
  <c r="C65" i="5" s="1"/>
  <c r="H22" i="12" s="1"/>
  <c r="BG25" i="10"/>
  <c r="BG28" i="10" s="1"/>
  <c r="C66" i="5" s="1"/>
  <c r="D20" i="12" s="1"/>
  <c r="BH25" i="10"/>
  <c r="BH28" i="10" s="1"/>
  <c r="BI25" i="10"/>
  <c r="BI28" i="10" s="1"/>
  <c r="C68" i="5" s="1"/>
  <c r="BM25" i="10"/>
  <c r="BM28" i="10" s="1"/>
  <c r="C88" i="5" s="1"/>
  <c r="F23" i="12" s="1"/>
  <c r="BN25" i="10"/>
  <c r="BN28" i="10" s="1"/>
  <c r="C89" i="5" s="1"/>
  <c r="F24" i="12" s="1"/>
  <c r="BO25" i="10"/>
  <c r="BO28" i="10" s="1"/>
  <c r="C90" i="5" s="1"/>
  <c r="H23" i="12" s="1"/>
  <c r="BP25" i="10"/>
  <c r="BP28" i="10" s="1"/>
  <c r="C91" i="5" s="1"/>
  <c r="B23" i="12" s="1"/>
  <c r="BQ25" i="10"/>
  <c r="BQ28" i="10" s="1"/>
  <c r="C92" i="5" s="1"/>
  <c r="D23" i="12" s="1"/>
  <c r="BR25" i="10"/>
  <c r="BR28" i="10" s="1"/>
  <c r="C93" i="5" s="1"/>
  <c r="H24" i="12" s="1"/>
  <c r="BS25" i="10"/>
  <c r="BS28" i="10" s="1"/>
  <c r="BT25" i="10"/>
  <c r="BT28" i="10" s="1"/>
  <c r="C105" i="5" s="1"/>
  <c r="B28" i="12" s="1"/>
  <c r="BU25" i="10"/>
  <c r="BU28" i="10" s="1"/>
  <c r="C106" i="5" s="1"/>
  <c r="D28" i="12" s="1"/>
  <c r="BV25" i="10"/>
  <c r="BV28" i="10" s="1"/>
  <c r="C107" i="5" s="1"/>
  <c r="D29" i="12" s="1"/>
  <c r="BW25" i="10"/>
  <c r="BW28" i="10" s="1"/>
  <c r="C108" i="5" s="1"/>
  <c r="H28" i="12" s="1"/>
  <c r="BX25" i="10"/>
  <c r="BX28" i="10" s="1"/>
  <c r="C109" i="5" s="1"/>
  <c r="J28" i="12" s="1"/>
  <c r="CA25" i="10"/>
  <c r="CA28" i="10" s="1"/>
  <c r="C74" i="5" s="1"/>
  <c r="B11" i="12" s="1"/>
  <c r="CB25" i="10"/>
  <c r="CB28" i="10" s="1"/>
  <c r="C75" i="5" s="1"/>
  <c r="D11" i="12" s="1"/>
  <c r="CC25" i="10"/>
  <c r="CC28" i="10" s="1"/>
  <c r="C76" i="5" s="1"/>
  <c r="H11" i="12" s="1"/>
  <c r="CD25" i="10"/>
  <c r="CD28" i="10" s="1"/>
  <c r="C77" i="5" s="1"/>
  <c r="B12" i="12" s="1"/>
  <c r="CE25" i="10"/>
  <c r="CE28" i="10" s="1"/>
  <c r="C78" i="5" s="1"/>
  <c r="D12" i="12" s="1"/>
  <c r="CF25" i="10"/>
  <c r="CF28" i="10" s="1"/>
  <c r="C79" i="5" s="1"/>
  <c r="D13" i="12" s="1"/>
  <c r="CG25" i="10"/>
  <c r="CG28" i="10" s="1"/>
  <c r="C80" i="5" s="1"/>
  <c r="F12" i="12" s="1"/>
  <c r="CH25" i="10"/>
  <c r="CH28" i="10" s="1"/>
  <c r="C81" i="5" s="1"/>
  <c r="F13" i="12" s="1"/>
  <c r="CI25" i="10"/>
  <c r="CI28" i="10" s="1"/>
  <c r="C82" i="5" s="1"/>
  <c r="CJ25" i="10"/>
  <c r="CJ28" i="10" s="1"/>
  <c r="C83" i="5" s="1"/>
  <c r="J11" i="12" s="1"/>
  <c r="CK25" i="10"/>
  <c r="CK28" i="10" s="1"/>
  <c r="C84" i="5" s="1"/>
  <c r="B13" i="12" s="1"/>
  <c r="CM25" i="10"/>
  <c r="CM28" i="10" s="1"/>
  <c r="C97" i="5" s="1"/>
  <c r="B15" i="12" s="1"/>
  <c r="CO25" i="10"/>
  <c r="CO28" i="10" s="1"/>
  <c r="C99" i="5" s="1"/>
  <c r="D17" i="12" s="1"/>
  <c r="CP25" i="10"/>
  <c r="CP28" i="10" s="1"/>
  <c r="C100" i="5" s="1"/>
  <c r="D16" i="12" s="1"/>
  <c r="CQ25" i="10"/>
  <c r="CQ28" i="10" s="1"/>
  <c r="C101" i="5" s="1"/>
  <c r="F16" i="12" s="1"/>
  <c r="AW26" i="10"/>
  <c r="AW29" i="10" s="1"/>
  <c r="D56" i="5" s="1"/>
  <c r="F23" i="11" s="1"/>
  <c r="AX26" i="10"/>
  <c r="AX29" i="10" s="1"/>
  <c r="D57" i="5" s="1"/>
  <c r="B23" i="11" s="1"/>
  <c r="AY26" i="10"/>
  <c r="AY29" i="10" s="1"/>
  <c r="D58" i="5" s="1"/>
  <c r="D23" i="11" s="1"/>
  <c r="AZ26" i="10"/>
  <c r="AZ29" i="10" s="1"/>
  <c r="D59" i="5" s="1"/>
  <c r="H24" i="11" s="1"/>
  <c r="BA26" i="10"/>
  <c r="BA29" i="10" s="1"/>
  <c r="D60" i="5" s="1"/>
  <c r="F24" i="11" s="1"/>
  <c r="BB26" i="10"/>
  <c r="BB29" i="10" s="1"/>
  <c r="D61" i="5" s="1"/>
  <c r="F25" i="11" s="1"/>
  <c r="BC26" i="10"/>
  <c r="BC29" i="10" s="1"/>
  <c r="D62" i="5" s="1"/>
  <c r="H25" i="11" s="1"/>
  <c r="AW25" i="10"/>
  <c r="AW28" i="10" s="1"/>
  <c r="C56" i="5" s="1"/>
  <c r="F18" i="12" s="1"/>
  <c r="AX25" i="10"/>
  <c r="AX28" i="10" s="1"/>
  <c r="C57" i="5" s="1"/>
  <c r="B18" i="12" s="1"/>
  <c r="AY25" i="10"/>
  <c r="AY28" i="10" s="1"/>
  <c r="C58" i="5" s="1"/>
  <c r="D18" i="12" s="1"/>
  <c r="AZ25" i="10"/>
  <c r="AZ28" i="10" s="1"/>
  <c r="C59" i="5" s="1"/>
  <c r="H19" i="12" s="1"/>
  <c r="BA25" i="10"/>
  <c r="BA28" i="10" s="1"/>
  <c r="C60" i="5" s="1"/>
  <c r="F19" i="12" s="1"/>
  <c r="BB25" i="10"/>
  <c r="BB28" i="10" s="1"/>
  <c r="C61" i="5" s="1"/>
  <c r="F20" i="12" s="1"/>
  <c r="BC25" i="10"/>
  <c r="BC28" i="10" s="1"/>
  <c r="C62" i="5" s="1"/>
  <c r="H20" i="12" s="1"/>
  <c r="F14" i="12" l="1"/>
  <c r="F20" i="11"/>
  <c r="D22" i="11"/>
  <c r="B19" i="12"/>
  <c r="C67" i="5"/>
  <c r="D21" i="12" s="1"/>
  <c r="H27" i="10"/>
  <c r="H30" i="10" s="1"/>
  <c r="E126" i="5" s="1"/>
  <c r="I27" i="10"/>
  <c r="I30" i="10" s="1"/>
  <c r="E127" i="5" s="1"/>
  <c r="J27" i="10"/>
  <c r="J30" i="10" s="1"/>
  <c r="E128" i="5" s="1"/>
  <c r="K27" i="10"/>
  <c r="K30" i="10" s="1"/>
  <c r="E129" i="5" s="1"/>
  <c r="L27" i="10"/>
  <c r="L30" i="10" s="1"/>
  <c r="E130" i="5" s="1"/>
  <c r="M27" i="10"/>
  <c r="M30" i="10" s="1"/>
  <c r="E131" i="5" s="1"/>
  <c r="N27" i="10"/>
  <c r="N30" i="10" s="1"/>
  <c r="E132" i="5" s="1"/>
  <c r="O27" i="10"/>
  <c r="O30" i="10" s="1"/>
  <c r="E133" i="5" s="1"/>
  <c r="P27" i="10"/>
  <c r="P30" i="10" s="1"/>
  <c r="E134" i="5" s="1"/>
  <c r="Q27" i="10"/>
  <c r="Q30" i="10" s="1"/>
  <c r="R27" i="10"/>
  <c r="R30" i="10" s="1"/>
  <c r="E139" i="5" s="1"/>
  <c r="S27" i="10"/>
  <c r="S30" i="10" s="1"/>
  <c r="E140" i="5" s="1"/>
  <c r="T27" i="10"/>
  <c r="T30" i="10" s="1"/>
  <c r="E141" i="5" s="1"/>
  <c r="U27" i="10"/>
  <c r="U30" i="10" s="1"/>
  <c r="E142" i="5" s="1"/>
  <c r="V27" i="10"/>
  <c r="V30" i="10" s="1"/>
  <c r="E143" i="5" s="1"/>
  <c r="W27" i="10"/>
  <c r="W30" i="10" s="1"/>
  <c r="E144" i="5" s="1"/>
  <c r="X27" i="10"/>
  <c r="X30" i="10" s="1"/>
  <c r="E145" i="5" s="1"/>
  <c r="Y27" i="10"/>
  <c r="Y30" i="10" s="1"/>
  <c r="Z27" i="10"/>
  <c r="Z30" i="10" s="1"/>
  <c r="E25" i="5" s="1"/>
  <c r="AA27" i="10"/>
  <c r="AA30" i="10" s="1"/>
  <c r="E26" i="5" s="1"/>
  <c r="AB27" i="10"/>
  <c r="AB30" i="10" s="1"/>
  <c r="E27" i="5" s="1"/>
  <c r="AC27" i="10"/>
  <c r="AC30" i="10" s="1"/>
  <c r="E28" i="5" s="1"/>
  <c r="AD27" i="10"/>
  <c r="AD30" i="10" s="1"/>
  <c r="E29" i="5" s="1"/>
  <c r="AE27" i="10"/>
  <c r="AE30" i="10" s="1"/>
  <c r="E30" i="5" s="1"/>
  <c r="AF27" i="10"/>
  <c r="AF30" i="10" s="1"/>
  <c r="E31" i="5" s="1"/>
  <c r="AG27" i="10"/>
  <c r="AG30" i="10" s="1"/>
  <c r="E32" i="5" s="1"/>
  <c r="AH27" i="10"/>
  <c r="AH30" i="10" s="1"/>
  <c r="AI27" i="10"/>
  <c r="AI30" i="10" s="1"/>
  <c r="AJ27" i="10"/>
  <c r="AJ30" i="10" s="1"/>
  <c r="E40" i="5" s="1"/>
  <c r="AK27" i="10"/>
  <c r="AK30" i="10" s="1"/>
  <c r="E41" i="5" s="1"/>
  <c r="AL27" i="10"/>
  <c r="AL30" i="10" s="1"/>
  <c r="E42" i="5" s="1"/>
  <c r="AM27" i="10"/>
  <c r="AM30" i="10" s="1"/>
  <c r="E43" i="5" s="1"/>
  <c r="AN27" i="10"/>
  <c r="AN30" i="10" s="1"/>
  <c r="E44" i="5" s="1"/>
  <c r="AO27" i="10"/>
  <c r="AO30" i="10" s="1"/>
  <c r="E45" i="5" s="1"/>
  <c r="AP27" i="10"/>
  <c r="AP30" i="10" s="1"/>
  <c r="E46" i="5" s="1"/>
  <c r="AQ27" i="10"/>
  <c r="AQ30" i="10" s="1"/>
  <c r="E47" i="5" s="1"/>
  <c r="AR27" i="10"/>
  <c r="AR30" i="10" s="1"/>
  <c r="E48" i="5" s="1"/>
  <c r="AS27" i="10"/>
  <c r="AS30" i="10" s="1"/>
  <c r="E49" i="5" s="1"/>
  <c r="AV27" i="10"/>
  <c r="AV30" i="10" s="1"/>
  <c r="E55" i="5" s="1"/>
  <c r="H26" i="10"/>
  <c r="H29" i="10" s="1"/>
  <c r="D126" i="5" s="1"/>
  <c r="I26" i="10"/>
  <c r="I29" i="10" s="1"/>
  <c r="D127" i="5" s="1"/>
  <c r="J26" i="10"/>
  <c r="J29" i="10" s="1"/>
  <c r="D128" i="5" s="1"/>
  <c r="K26" i="10"/>
  <c r="K29" i="10" s="1"/>
  <c r="D129" i="5" s="1"/>
  <c r="L26" i="10"/>
  <c r="L29" i="10" s="1"/>
  <c r="D130" i="5" s="1"/>
  <c r="M26" i="10"/>
  <c r="M29" i="10" s="1"/>
  <c r="D131" i="5" s="1"/>
  <c r="N26" i="10"/>
  <c r="N29" i="10" s="1"/>
  <c r="D132" i="5" s="1"/>
  <c r="O26" i="10"/>
  <c r="O29" i="10" s="1"/>
  <c r="D133" i="5" s="1"/>
  <c r="P26" i="10"/>
  <c r="P29" i="10" s="1"/>
  <c r="D134" i="5" s="1"/>
  <c r="Q26" i="10"/>
  <c r="Q29" i="10" s="1"/>
  <c r="R26" i="10"/>
  <c r="R29" i="10" s="1"/>
  <c r="D139" i="5" s="1"/>
  <c r="S26" i="10"/>
  <c r="S29" i="10" s="1"/>
  <c r="D140" i="5" s="1"/>
  <c r="T26" i="10"/>
  <c r="T29" i="10" s="1"/>
  <c r="D141" i="5" s="1"/>
  <c r="U26" i="10"/>
  <c r="U29" i="10" s="1"/>
  <c r="D142" i="5" s="1"/>
  <c r="V26" i="10"/>
  <c r="V29" i="10" s="1"/>
  <c r="D143" i="5" s="1"/>
  <c r="W26" i="10"/>
  <c r="W29" i="10" s="1"/>
  <c r="D144" i="5" s="1"/>
  <c r="X26" i="10"/>
  <c r="X29" i="10" s="1"/>
  <c r="D145" i="5" s="1"/>
  <c r="Y26" i="10"/>
  <c r="Y29" i="10" s="1"/>
  <c r="Z26" i="10"/>
  <c r="Z29" i="10" s="1"/>
  <c r="D25" i="5" s="1"/>
  <c r="D8" i="11" s="1"/>
  <c r="AA26" i="10"/>
  <c r="AA29" i="10" s="1"/>
  <c r="D26" i="5" s="1"/>
  <c r="B8" i="11" s="1"/>
  <c r="AB26" i="10"/>
  <c r="AB29" i="10" s="1"/>
  <c r="D27" i="5" s="1"/>
  <c r="D9" i="11" s="1"/>
  <c r="AC26" i="10"/>
  <c r="AC29" i="10" s="1"/>
  <c r="D28" i="5" s="1"/>
  <c r="B9" i="11" s="1"/>
  <c r="AD26" i="10"/>
  <c r="AD29" i="10" s="1"/>
  <c r="D29" i="5" s="1"/>
  <c r="D10" i="11" s="1"/>
  <c r="AE26" i="10"/>
  <c r="AE29" i="10" s="1"/>
  <c r="D30" i="5" s="1"/>
  <c r="B10" i="11" s="1"/>
  <c r="AF26" i="10"/>
  <c r="AF29" i="10" s="1"/>
  <c r="D31" i="5" s="1"/>
  <c r="D11" i="11" s="1"/>
  <c r="AG26" i="10"/>
  <c r="AG29" i="10" s="1"/>
  <c r="F3" i="12" s="1"/>
  <c r="AH26" i="10"/>
  <c r="AH29" i="10" s="1"/>
  <c r="AI26" i="10"/>
  <c r="AI29" i="10" s="1"/>
  <c r="AJ26" i="10"/>
  <c r="AJ29" i="10" s="1"/>
  <c r="D40" i="5" s="1"/>
  <c r="D12" i="11" s="1"/>
  <c r="AK26" i="10"/>
  <c r="AK29" i="10" s="1"/>
  <c r="D41" i="5" s="1"/>
  <c r="AL26" i="10"/>
  <c r="AL29" i="10" s="1"/>
  <c r="D42" i="5" s="1"/>
  <c r="F14" i="11" s="1"/>
  <c r="AM26" i="10"/>
  <c r="AM29" i="10" s="1"/>
  <c r="D43" i="5" s="1"/>
  <c r="H12" i="11" s="1"/>
  <c r="AN26" i="10"/>
  <c r="AN29" i="10" s="1"/>
  <c r="D44" i="5" s="1"/>
  <c r="J12" i="11" s="1"/>
  <c r="AO26" i="10"/>
  <c r="AO29" i="10" s="1"/>
  <c r="D45" i="5" s="1"/>
  <c r="D13" i="11" s="1"/>
  <c r="AP26" i="10"/>
  <c r="AP29" i="10" s="1"/>
  <c r="D46" i="5" s="1"/>
  <c r="D14" i="11" s="1"/>
  <c r="AQ26" i="10"/>
  <c r="AQ29" i="10" s="1"/>
  <c r="D47" i="5" s="1"/>
  <c r="AR26" i="10"/>
  <c r="AR29" i="10" s="1"/>
  <c r="D48" i="5" s="1"/>
  <c r="H13" i="11" s="1"/>
  <c r="AS26" i="10"/>
  <c r="AS29" i="10" s="1"/>
  <c r="D49" i="5" s="1"/>
  <c r="B12" i="11" s="1"/>
  <c r="AV26" i="10"/>
  <c r="AV29" i="10" s="1"/>
  <c r="D55" i="5" s="1"/>
  <c r="H23" i="11" s="1"/>
  <c r="H25" i="10"/>
  <c r="H28" i="10" s="1"/>
  <c r="C126" i="5" s="1"/>
  <c r="I25" i="10"/>
  <c r="I28" i="10" s="1"/>
  <c r="C127" i="5" s="1"/>
  <c r="J25" i="10"/>
  <c r="J28" i="10" s="1"/>
  <c r="C128" i="5" s="1"/>
  <c r="K25" i="10"/>
  <c r="K28" i="10" s="1"/>
  <c r="C129" i="5" s="1"/>
  <c r="L25" i="10"/>
  <c r="L28" i="10" s="1"/>
  <c r="C130" i="5" s="1"/>
  <c r="M25" i="10"/>
  <c r="M28" i="10" s="1"/>
  <c r="C131" i="5" s="1"/>
  <c r="N25" i="10"/>
  <c r="N28" i="10" s="1"/>
  <c r="C132" i="5" s="1"/>
  <c r="O25" i="10"/>
  <c r="O28" i="10" s="1"/>
  <c r="C133" i="5" s="1"/>
  <c r="P25" i="10"/>
  <c r="P28" i="10" s="1"/>
  <c r="C134" i="5" s="1"/>
  <c r="Q25" i="10"/>
  <c r="Q28" i="10" s="1"/>
  <c r="R25" i="10"/>
  <c r="R28" i="10" s="1"/>
  <c r="C139" i="5" s="1"/>
  <c r="S25" i="10"/>
  <c r="S28" i="10" s="1"/>
  <c r="C140" i="5" s="1"/>
  <c r="T25" i="10"/>
  <c r="T28" i="10" s="1"/>
  <c r="C141" i="5" s="1"/>
  <c r="U25" i="10"/>
  <c r="U28" i="10" s="1"/>
  <c r="C142" i="5" s="1"/>
  <c r="V25" i="10"/>
  <c r="V28" i="10" s="1"/>
  <c r="C143" i="5" s="1"/>
  <c r="W25" i="10"/>
  <c r="W28" i="10" s="1"/>
  <c r="C144" i="5" s="1"/>
  <c r="X25" i="10"/>
  <c r="X28" i="10" s="1"/>
  <c r="C145" i="5" s="1"/>
  <c r="Y25" i="10"/>
  <c r="Y28" i="10" s="1"/>
  <c r="Z25" i="10"/>
  <c r="Z28" i="10" s="1"/>
  <c r="AA25" i="10"/>
  <c r="AA28" i="10" s="1"/>
  <c r="AB25" i="10"/>
  <c r="AB28" i="10" s="1"/>
  <c r="AC25" i="10"/>
  <c r="AC28" i="10" s="1"/>
  <c r="AD25" i="10"/>
  <c r="AD28" i="10" s="1"/>
  <c r="C29" i="5" s="1"/>
  <c r="D5" i="12" s="1"/>
  <c r="AE25" i="10"/>
  <c r="AE28" i="10" s="1"/>
  <c r="C30" i="5" s="1"/>
  <c r="B5" i="12" s="1"/>
  <c r="AF25" i="10"/>
  <c r="AF28" i="10" s="1"/>
  <c r="C31" i="5" s="1"/>
  <c r="D6" i="12" s="1"/>
  <c r="AG25" i="10"/>
  <c r="AG28" i="10" s="1"/>
  <c r="C32" i="5" s="1"/>
  <c r="F5" i="12" s="1"/>
  <c r="AH25" i="10"/>
  <c r="AH28" i="10" s="1"/>
  <c r="C33" i="5" s="1"/>
  <c r="AI25" i="10"/>
  <c r="AI28" i="10" s="1"/>
  <c r="AJ25" i="10"/>
  <c r="AJ28" i="10" s="1"/>
  <c r="C40" i="5" s="1"/>
  <c r="D7" i="12" s="1"/>
  <c r="AK25" i="10"/>
  <c r="AK28" i="10" s="1"/>
  <c r="C41" i="5" s="1"/>
  <c r="AL25" i="10"/>
  <c r="AL28" i="10" s="1"/>
  <c r="C42" i="5" s="1"/>
  <c r="F9" i="12" s="1"/>
  <c r="AM25" i="10"/>
  <c r="AM28" i="10" s="1"/>
  <c r="C43" i="5" s="1"/>
  <c r="H7" i="12" s="1"/>
  <c r="AN25" i="10"/>
  <c r="AN28" i="10" s="1"/>
  <c r="C44" i="5" s="1"/>
  <c r="J7" i="12" s="1"/>
  <c r="AO25" i="10"/>
  <c r="AO28" i="10" s="1"/>
  <c r="C45" i="5" s="1"/>
  <c r="D8" i="12" s="1"/>
  <c r="AP25" i="10"/>
  <c r="AP28" i="10" s="1"/>
  <c r="C46" i="5" s="1"/>
  <c r="D9" i="12" s="1"/>
  <c r="AQ25" i="10"/>
  <c r="AQ28" i="10" s="1"/>
  <c r="C47" i="5" s="1"/>
  <c r="F10" i="12" s="1"/>
  <c r="AR25" i="10"/>
  <c r="AR28" i="10" s="1"/>
  <c r="C48" i="5" s="1"/>
  <c r="H8" i="12" s="1"/>
  <c r="AS25" i="10"/>
  <c r="AS28" i="10" s="1"/>
  <c r="C49" i="5" s="1"/>
  <c r="B7" i="12" s="1"/>
  <c r="AV25" i="10"/>
  <c r="AV28" i="10" s="1"/>
  <c r="C55" i="5" s="1"/>
  <c r="H18" i="12" s="1"/>
  <c r="G27" i="10"/>
  <c r="G30" i="10" s="1"/>
  <c r="E125" i="5" s="1"/>
  <c r="G26" i="10"/>
  <c r="G29" i="10" s="1"/>
  <c r="D125" i="5" s="1"/>
  <c r="G25" i="10"/>
  <c r="G28" i="10" s="1"/>
  <c r="C125" i="5" s="1"/>
  <c r="D3" i="12" l="1"/>
  <c r="C25" i="5"/>
  <c r="B3" i="12"/>
  <c r="C26" i="5"/>
  <c r="C28" i="5"/>
  <c r="B4" i="12"/>
  <c r="C27" i="5"/>
  <c r="D4" i="12"/>
  <c r="F12" i="11"/>
  <c r="F7" i="12"/>
  <c r="E33" i="5"/>
  <c r="D33" i="5"/>
  <c r="F8" i="11" s="1"/>
  <c r="D32" i="5"/>
  <c r="F10" i="11" s="1"/>
  <c r="A8" i="2"/>
  <c r="A26" i="3" l="1"/>
  <c r="A23" i="3"/>
  <c r="A19" i="3"/>
  <c r="B6" i="3"/>
  <c r="C6" i="3" l="1"/>
  <c r="C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Astrelina Anastasiya</author>
  </authors>
  <commentList>
    <comment ref="C25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40" authorId="0" shapeId="0" xr:uid="{94E7F81A-DC42-4F33-AD71-9C756CF7373C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55" authorId="0" shapeId="0" xr:uid="{E2648D37-A9B8-4339-BA63-DA0124974ED1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74" authorId="0" shapeId="0" xr:uid="{EFF0C184-B193-4839-B8AD-6B285BF1E55F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88" authorId="0" shapeId="0" xr:uid="{781E5E27-64BE-434E-986D-51B3F0082FB2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98" authorId="0" shapeId="0" xr:uid="{E86A3FB1-2BF8-4204-AA0E-50EF0C91345B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105" authorId="0" shapeId="0" xr:uid="{7BBCC8E3-6C43-4494-9B46-9BF7105864F6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114" authorId="0" shapeId="0" xr:uid="{4F4F0192-9790-42DB-BA46-EA414A3858CE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125" authorId="0" shapeId="0" xr:uid="{CED9D5B0-9F8C-4F84-83B0-2D47424E6F25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  <comment ref="C139" authorId="0" shapeId="0" xr:uid="{BFED7E3D-05C8-477F-B364-41B6088F727D}">
      <text>
        <r>
          <rPr>
            <b/>
            <sz val="9"/>
            <color indexed="81"/>
            <rFont val="Tahoma"/>
            <family val="2"/>
            <charset val="204"/>
          </rPr>
          <t>Astrelina Anastasiya:</t>
        </r>
        <r>
          <rPr>
            <sz val="9"/>
            <color indexed="81"/>
            <rFont val="Tahoma"/>
            <family val="2"/>
            <charset val="204"/>
          </rPr>
          <t xml:space="preserve">
% коллег, отметивший этот пункт</t>
        </r>
      </text>
    </comment>
  </commentList>
</comments>
</file>

<file path=xl/sharedStrings.xml><?xml version="1.0" encoding="utf-8"?>
<sst xmlns="http://schemas.openxmlformats.org/spreadsheetml/2006/main" count="1146" uniqueCount="447">
  <si>
    <t>ФИО</t>
  </si>
  <si>
    <t>Должность</t>
  </si>
  <si>
    <t>Наставник</t>
  </si>
  <si>
    <t>Руководитель</t>
  </si>
  <si>
    <t>☹</t>
  </si>
  <si>
    <t>☻</t>
  </si>
  <si>
    <t>Самооценка сотрудника</t>
  </si>
  <si>
    <t>ХОТЯТ ПОХВАЛИТЬ ЗА:</t>
  </si>
  <si>
    <t>Сотрудник</t>
  </si>
  <si>
    <t>Довлен своми результатами (1-10)</t>
  </si>
  <si>
    <t>Мои успехи и достижения</t>
  </si>
  <si>
    <t>Что не получилось</t>
  </si>
  <si>
    <t>Куда хочу развиваться</t>
  </si>
  <si>
    <t>Содержание работы</t>
  </si>
  <si>
    <t>Карьерный рост и его возможности</t>
  </si>
  <si>
    <t>Профессиональное развитие и возможности для него</t>
  </si>
  <si>
    <t>Название и статус моей должности</t>
  </si>
  <si>
    <t>Взаимоотношения с руководителем</t>
  </si>
  <si>
    <t>Взаимоотношения с коллегами в команде</t>
  </si>
  <si>
    <t>Корпоративная культура</t>
  </si>
  <si>
    <t>Уровень заработной платы</t>
  </si>
  <si>
    <t>Условия работы в компании</t>
  </si>
  <si>
    <t>Пригласил бы в команду (1-10)</t>
  </si>
  <si>
    <t>ЧТО СТОИТ УЛУЧШИТЬ И НА ЧТО ОБРАТИТЬ ВНИМАНИЕ:</t>
  </si>
  <si>
    <t>Комментарии:</t>
  </si>
  <si>
    <t>Проекты, в которых участвовал  за последние полгода/год</t>
  </si>
  <si>
    <t>% - от общего кол-ва респондентов</t>
  </si>
  <si>
    <t>Оценка</t>
  </si>
  <si>
    <t>Другое:</t>
  </si>
  <si>
    <t>Какие компетенции развивать</t>
  </si>
  <si>
    <t>Как тебя зовут? (фамилия, имя)</t>
  </si>
  <si>
    <t>Что тебе важно обсудить в рамках беседы о развитии?</t>
  </si>
  <si>
    <t xml:space="preserve">В каких проектах/других активностях ты участвовал в последние полгода-год?
</t>
  </si>
  <si>
    <t>Насколько ты доволен своими результатами работы за прошедшие месяцы в компании?</t>
  </si>
  <si>
    <t xml:space="preserve">Какие свои успехи и достижения ты можешь выделить за последние полгода? Что особенно хорошо у тебя получается?
</t>
  </si>
  <si>
    <t xml:space="preserve">Что не получилось осуществить за последние полгода?
</t>
  </si>
  <si>
    <t>Куда бы ты сам/сама хотел развиваться?</t>
  </si>
  <si>
    <t>Содержание работы (развивающие и интересные задачи/ возможность проявить себя/ самостоятельность и наличие полномочий для решения задач) </t>
  </si>
  <si>
    <t>Карьерный рост и возможности для него </t>
  </si>
  <si>
    <t>Профессиональное развитие и возможности для него (наставничество, БОР, внешнее/внутреннее обучение, новые задачи)</t>
  </si>
  <si>
    <t xml:space="preserve">Название и статус моей должности  
</t>
  </si>
  <si>
    <t>Взаимоотношения с непосредственным руководителем: адекватность требований и отношений</t>
  </si>
  <si>
    <t xml:space="preserve">Взаимоотношения с коллегами в команде
</t>
  </si>
  <si>
    <t>Корпоративная культура (корпоративные мероприятия, ценности, стратегия и т.д)</t>
  </si>
  <si>
    <t>Уровень заработной платы (фиксированная часть/бонусы)</t>
  </si>
  <si>
    <t xml:space="preserve">Условия работы в компании (техническое обеспечение/формат работы/режим работы/объем загрузки)
</t>
  </si>
  <si>
    <t>Укажи фамилию и имя коллеги, для которого даешь обратную связь?</t>
  </si>
  <si>
    <t>Как часто ты взаимодействуешь с коллегой?</t>
  </si>
  <si>
    <t>Если бы ты собирал свою проектную команду, то с какой вероятностью ты бы пригласил коллегу в проект?</t>
  </si>
  <si>
    <t>Прокомментируй свой ответ (обязательно при оценке ниже "7"):</t>
  </si>
  <si>
    <t>Выбери роль коллеги, на которого даешь обратную связь:</t>
  </si>
  <si>
    <t>За что хотел бы поблагодарить/похвалить коллегу?</t>
  </si>
  <si>
    <t>Управление командой</t>
  </si>
  <si>
    <t>Управление проектом</t>
  </si>
  <si>
    <t>Активно участвует в командных обсуждениях</t>
  </si>
  <si>
    <t>Всегда предупреждает: о своих отсутствиях на встречах, невозможности выполнить договоренности</t>
  </si>
  <si>
    <t>Открыто говорит о сложностях, с которыми сталкивается в работе, и ищет для них решение</t>
  </si>
  <si>
    <t>Часто делится своими знаниями и опытом с другими коллегами</t>
  </si>
  <si>
    <t>Замечает, когда другим нужна помощь и помогает при необходимости</t>
  </si>
  <si>
    <t>Уважительно и спокойно воспринимает альтернативное мнение коллег</t>
  </si>
  <si>
    <t>Подбадривает коллег или периодически разряжает напряженную ситуацию шуткой</t>
  </si>
  <si>
    <t>Можем ли сотруднику сообщить, что обратная связь была именно от тебя? В случае, если сотруднику нужны будут пояснения по твоим комментариям.</t>
  </si>
  <si>
    <t>Подбадривает, морально поддерживает и вдохновляет команду</t>
  </si>
  <si>
    <t>Старается быть в курсе задач, выполняемых каждым участником команды</t>
  </si>
  <si>
    <t>Поощряет инициативу со стороны всех членов команды, вовлекает в процесс тех, кто менее активен</t>
  </si>
  <si>
    <t>Информирует о своих решениях всех членов команды, с готовностью дает разъяснения</t>
  </si>
  <si>
    <t>Поручая задачу, учитывает квалификацию и опыт сотрудника</t>
  </si>
  <si>
    <t>Регулярно предоставляет обратную связь, основанную на фактах, а не на субъективных оценках</t>
  </si>
  <si>
    <t>Ставит четкие задачи, удостоверяется, что они поняты правильно, устанавливает параметры контроля, оговаривает сроки выполнения.</t>
  </si>
  <si>
    <t>Приветствует самостоятельный поиск решений сложных задач, дает возможности проявить себя</t>
  </si>
  <si>
    <t>Не оставляет без внимания мои заслуги, хвалит</t>
  </si>
  <si>
    <t>Озвучивает важность задач, выполняемых каждым членом команды для общего успеха</t>
  </si>
  <si>
    <t>Хорошо планирует работы по проекту, укладывается в сроки проекта</t>
  </si>
  <si>
    <t>Учитывает возможные риски по проекту, отслеживает их и предпринимает меры по снижению степени влияния рисков на результат проекта</t>
  </si>
  <si>
    <t>Контролирует промежуточные и конечные результаты работы участников проектов</t>
  </si>
  <si>
    <t>Рассказывает команде о долгосрочных целях проекта </t>
  </si>
  <si>
    <t>Организует регулярные групповые обсуждения и встречи для координации проекта </t>
  </si>
  <si>
    <t>Регулярно проводит ретро по проекту</t>
  </si>
  <si>
    <t>Организует неформальные встречи команды</t>
  </si>
  <si>
    <t>Да</t>
  </si>
  <si>
    <t>Не могу оценить</t>
  </si>
  <si>
    <t>Примеры, если что-то не так</t>
  </si>
  <si>
    <t>Нет</t>
  </si>
  <si>
    <t>1. Подбадривает, морально поддерживает и вдохновляет команду</t>
  </si>
  <si>
    <t>2. Старается быть в курсе задач, выполняемых каждым участником команды</t>
  </si>
  <si>
    <t>3. Поощряет инициативу со стороны всех членов команды, вовлекает в процесс тех, кто менее активен</t>
  </si>
  <si>
    <t>4. Информирует о своих решениях всех членов команды, с готовностью дает разъяснения</t>
  </si>
  <si>
    <t>5. Поручая задачу, учитывает квалификацию и опыт сотрудника</t>
  </si>
  <si>
    <t>6. Регулярно предоставляет обратную связь, основанную на фактах, а не на субъективных оценках</t>
  </si>
  <si>
    <t>7. Ставит четкие задачи, удостоверяется, что они поняты правильно, устанавливает параметры контроля, оговаривает сроки выполнения.</t>
  </si>
  <si>
    <t>8. Приветствует самостоятельный поиск решений сложных задач, дает возможности проявить себя</t>
  </si>
  <si>
    <t>9. Не оставляет без внимания мои заслуги, хвалит</t>
  </si>
  <si>
    <t>10. Озвучивает важность задач, выполняемых каждым членом команды для общего успеха</t>
  </si>
  <si>
    <t>1. Хорошо планирует работы по проекту, укладывается в сроки проекта</t>
  </si>
  <si>
    <t>2. Учитывает возможные риски по проекту, отслеживает их и предпринимает меры по снижению степени влияния рисков на результат проекта</t>
  </si>
  <si>
    <t>3. Контролирует промежуточные и конечные результаты работы участников проектов</t>
  </si>
  <si>
    <t xml:space="preserve">4. Рассказывает команде о долгосрочных целях проекта </t>
  </si>
  <si>
    <t xml:space="preserve">5. Организует регулярные групповые обсуждения и встречи для координации проекта </t>
  </si>
  <si>
    <t>6. Регулярно проводит ретро по проекту</t>
  </si>
  <si>
    <t>7. Организует неформальные встречи команды</t>
  </si>
  <si>
    <t>Сильные стороны</t>
  </si>
  <si>
    <t>На что обратить внимание</t>
  </si>
  <si>
    <t>✔</t>
  </si>
  <si>
    <t xml:space="preserve">Прокомментируй свой ответ про позитивные или негативные проявления компетенции "Управление командой"
</t>
  </si>
  <si>
    <t xml:space="preserve">Прокомментируй свой ответ про позитивные или негативные проявления компетенции "Управление проектом"
</t>
  </si>
  <si>
    <t>Четко, кратко и структурированно формулирует основную мысль коммуникации, в том числе в вопросах и ответах собеседников</t>
  </si>
  <si>
    <t>Владеет русским языком: пишет без грамматических, пунктуационных и стилистических ошибок</t>
  </si>
  <si>
    <t>Понимает разницу между каналами коммуникации (мессенджеры, почта, телефон) </t>
  </si>
  <si>
    <t>Своевременно предоставляет необходимую информацию и ответы </t>
  </si>
  <si>
    <t>Эффективно устанавливает контакт с собеседником вне зависимости от ситуации</t>
  </si>
  <si>
    <t>Всегда открыт на встречах, озвучивает появляющиеся вопросы, не откладывает коммуникацию "на потом"</t>
  </si>
  <si>
    <t>Обладает ясностью речи, нет слов-паразитов</t>
  </si>
  <si>
    <t>Эмоционально устойчив в стрессовых коммуникациях: не заражается эмоциями, не переходит в наступательную / защитную позиции и ведет конструктивный диалог</t>
  </si>
  <si>
    <t>В случае запроса к собеседнику четко указывает, что ожидается по результатам коммуникации и в какие сроки (какое действие, с каким результатом)</t>
  </si>
  <si>
    <t>Прокомментируй свой ответ про позитивные или негативные проявления компетенции "устная и письменная коммуникация"</t>
  </si>
  <si>
    <t>При принятии решений придерживается не только своей точки зрения, но и других коллег/заказчика </t>
  </si>
  <si>
    <t>Объясняет необходимость и причины изменений/проясняет ситуацию коллегам/заказчикам на проекте </t>
  </si>
  <si>
    <t>При конфликте обсуждает возможные пути решения и ищет пути примирения с оппонентами </t>
  </si>
  <si>
    <t>Устраняет противоречия при помощи аргументов и логики, не переходит на личности </t>
  </si>
  <si>
    <t>Предоставляет помощь и поддержку команде</t>
  </si>
  <si>
    <t> Понимает ценность выбранного решения для клиента, предпринимает действия для получения заказчиком этой ценности </t>
  </si>
  <si>
    <t>Честно и открыто излагает свою точку зрения в команде</t>
  </si>
  <si>
    <t>Самостоятельно выявляет ценность для клиента и предлагает решения</t>
  </si>
  <si>
    <t>Видит потребности клиента, которые выходят за скоуп проекта. Проясняет ценность этого для заказчика и возможные способы решения</t>
  </si>
  <si>
    <t xml:space="preserve">Прокомментируй свой ответ про позитивные или негативные проявления компетенции "выстраивание долгосрочных партнерских отношений"
</t>
  </si>
  <si>
    <t>Легко общается с людьми любого типа, находит общий язык со многими в проектной команде </t>
  </si>
  <si>
    <t> Вовлекает в обсуждение всех заинтересованных участников, учитывает мнение других при принятии решения</t>
  </si>
  <si>
    <t>Выступает с предложениями по улучшению работы, предлагает варианты решения проблем </t>
  </si>
  <si>
    <t>Берет на себя лидерство в проектных встречах, руководит и направляет обсуждение </t>
  </si>
  <si>
    <t>Признает успех других, благодарит коллег за помощь и поддержку</t>
  </si>
  <si>
    <t>Поддерживает коллег на проекте, при необходимости оказывает помощь</t>
  </si>
  <si>
    <t xml:space="preserve">Прокомментируй свой ответ про позитивные или негативные проявления компетенции "взаимодействие в команде"
</t>
  </si>
  <si>
    <t>В обсуждениях разных точек зрения слушает и слышит позицию оппонента, задает открытые вопросы для прояснения его позиции </t>
  </si>
  <si>
    <t>Объясняет свою позицию с точки зрения ценности для проекта / команды / заказчика и приводит аргументы</t>
  </si>
  <si>
    <t> Ищет компромиссные решения для достижения целей переговоров (идеально, если с позиции win-win)</t>
  </si>
  <si>
    <t>Формулирует свой взгляд на ситуацию, проблему</t>
  </si>
  <si>
    <t>Ясно формулирует свою позицию и позицию 2 стороны (в переговорах, конфликтных ситуациях)</t>
  </si>
  <si>
    <t>Определяет, что для собеседника важно и предлагает варианты для достижения договоренностей. При возникновении разных позиций, интересов не вовлекается в конфронтацию, а проясняет позиции через отк...</t>
  </si>
  <si>
    <t xml:space="preserve">Прокомментируй свой ответ про позитивные или негативные проявления компетенции "Навыки переговоров в производственных ситуациях (в командах, с заказчиками)"
</t>
  </si>
  <si>
    <t>Запрашивает и принимает обратную связь от других. Меняет свое поведение с учетом обратной связи </t>
  </si>
  <si>
    <t>Развивает технические навыки и отражает их в проектном резюме</t>
  </si>
  <si>
    <t>Открыт новому опыту, проявляет гибкость: ищет и находит новые технологии, подходы, инструменты для улучшения работы</t>
  </si>
  <si>
    <t>Регулярно дает обратную связь команде</t>
  </si>
  <si>
    <t xml:space="preserve">Прокомментируй свой ответ про позитивные или негативные проявления компетенции "Профессиональное обучение и личностное развитие"
</t>
  </si>
  <si>
    <t>Осуществляет регулярный мониторинг и контроль выполнения договоренностей, как со своей стороны, так и со стороны коллег </t>
  </si>
  <si>
    <t>Регулярно и системно следует запланированному графику и своевременно сообщает об изменениях/ статусе задачи</t>
  </si>
  <si>
    <t> Занимает проактивную позицию в реализации проекта: делает все необходимое для достижения результата, предвидит и озвучивает риски, предпринимает действия направленные на успешное завершение проекта</t>
  </si>
  <si>
    <t>Учится на своих ошибках и старается не совершать их в дальнейшем </t>
  </si>
  <si>
    <t>Своевременно и открыто заявляет о наличие возникших проблем</t>
  </si>
  <si>
    <t>Проясняет какой конечный результат работы ожидается и в какой срок, фиксирует это.</t>
  </si>
  <si>
    <t>В трудной ситуации ищет решение проблемы (собирает информацию, общается с разными людьми, изучает опыт за пределами компании)</t>
  </si>
  <si>
    <t>Продолжает предпринимать попытки добиться результата несмотря на неуспехи</t>
  </si>
  <si>
    <t>Анализирует сложные ситуации, оценивает риски с целью разрешения ситуации</t>
  </si>
  <si>
    <t>Анализирует прошлый период/завершенный проект, делает выводы и делится с коллегами</t>
  </si>
  <si>
    <t xml:space="preserve">Прокомментируй свой ответ про позитивные или негативные проявления компетенции "Ответственность"
</t>
  </si>
  <si>
    <t>Организовывает (выбирает и согласовывает время, подбирает необходимых участников, формирует повестку и создает приглашение) и участвует в телефонных конференциях </t>
  </si>
  <si>
    <t>Играет роль модератора встречи: четко обозначает повестку, следит за временем, вовлекает необходимых участников в обсуждение, следит за тем, чтобы обсуждение шло согласно цели и возвращает к обсуж...</t>
  </si>
  <si>
    <t>Фиксация результатов обсуждения в заданном проектом формате. Если формата нет, то может понятно сформулировать договоренности (действие, срок, ответственный и т п)</t>
  </si>
  <si>
    <t xml:space="preserve">Прокомментируй свой ответ про позитивные или негативные проявления компетенции "Проведение и участие во встречах"
</t>
  </si>
  <si>
    <t>На твой взгляд, какие зоны роста считаешь наиболее важными для развития коллеги на ближайшее время? </t>
  </si>
  <si>
    <t>Устная и письменная коммуникация</t>
  </si>
  <si>
    <t>1.Четко, кратко и структурированно формулирует основную мысль коммуникации, в том числе в вопросах и ответах собеседников</t>
  </si>
  <si>
    <t>2. Владеет русским языком: пишет без грамматических, пунктуационных и стилистических ошибок</t>
  </si>
  <si>
    <t xml:space="preserve">3. Понимает разницу между каналами коммуникации (мессенджеры, почта, телефон) </t>
  </si>
  <si>
    <t xml:space="preserve">4. Своевременно предоставляет необходимую информацию и ответы </t>
  </si>
  <si>
    <t>5. Эффективно устанавливает контакт с собеседником вне зависимости от ситуации</t>
  </si>
  <si>
    <t>6. Всегда открыт на встречах, озвучивает появляющиеся вопросы, не откладывает коммуникацию "на потом"</t>
  </si>
  <si>
    <t>7. Обладает ясностью речи, нет слов-паразитов</t>
  </si>
  <si>
    <t>8. Эмоционально устойчив в стрессовых коммуникациях: не заражается эмоциями, не переходит в наступательную / защитную позиции и ведет конструктивный диалог</t>
  </si>
  <si>
    <t>9. В случае запроса к собеседнику четко указывает, что ожидается по результатам коммуникации и в какие сроки (какое действие, с каким результатом)</t>
  </si>
  <si>
    <t xml:space="preserve">Другое: </t>
  </si>
  <si>
    <t>Выстраивание долгосрочных партнерских отношений</t>
  </si>
  <si>
    <t xml:space="preserve">1. При принятии решений придерживается не только своей точки зрения, но и других коллег/заказчика </t>
  </si>
  <si>
    <t xml:space="preserve">2. Объясняет необходимость и причины изменений/проясняет ситуацию коллегам/заказчикам на проекте </t>
  </si>
  <si>
    <t xml:space="preserve">3. При конфликте обсуждает возможные пути решения и ищет пути примирения с оппонентами </t>
  </si>
  <si>
    <t xml:space="preserve">4. Устраняет противоречия при помощи аргументов и логики, не переходит на личности </t>
  </si>
  <si>
    <t>5. Предоставляет помощь и поддержку команде</t>
  </si>
  <si>
    <t xml:space="preserve">6.  Понимает ценность выбранного решения для клиента, предпринимает действия для получения заказчиком этой ценности </t>
  </si>
  <si>
    <t>7. Честно и открыто излагает свою точку зрения в команде</t>
  </si>
  <si>
    <t>8. Самостоятельно выявляет ценность для клиента и предлагает решения</t>
  </si>
  <si>
    <t>9. Видит потребности клиента, которые выходят за скоуп проекта. Проясняет ценность этого для заказчика и возможные способы решения</t>
  </si>
  <si>
    <t>Взаимодействие в команде</t>
  </si>
  <si>
    <t xml:space="preserve">1. Легко общается с людьми любого типа, находит общий язык со многими в проектной команде </t>
  </si>
  <si>
    <t>2.Активно участвует в командных обсуждениях</t>
  </si>
  <si>
    <t>3. Всегда предупреждает: о своих отсутствиях на встречах, невозможности выполнить договоренности</t>
  </si>
  <si>
    <t>4. Открыто говорит о сложностях, с которыми сталкивается в работе, и ищет для них решение</t>
  </si>
  <si>
    <t>5.  Вовлекает в обсуждение всех заинтересованных участников, учитывает мнение других при принятии решения</t>
  </si>
  <si>
    <t xml:space="preserve">6. Выступает с предложениями по улучшению работы, предлагает варианты решения проблем </t>
  </si>
  <si>
    <t>7. Часто делится своими знаниями и опытом с другими коллегами</t>
  </si>
  <si>
    <t>8. Замечает, когда другим нужна помощь и помогает при необходимости</t>
  </si>
  <si>
    <t>9. Уважительно и спокойно воспринимает альтернативное мнение коллег</t>
  </si>
  <si>
    <t>10. Подбадривает коллег или периодически разряжает напряженную ситуацию шуткой</t>
  </si>
  <si>
    <t xml:space="preserve">11. Берет на себя лидерство в проектных встречах, руководит и направляет обсуждение </t>
  </si>
  <si>
    <t>12. Признает успех других, благодарит коллег за помощь и поддержку</t>
  </si>
  <si>
    <t>13. Поддерживает коллег на проекте, при необходимости оказывает помощь</t>
  </si>
  <si>
    <t>Навыки переговоров в производственных ситуациях (в командах, с заказчиками)</t>
  </si>
  <si>
    <t xml:space="preserve">1. В обсуждениях разных точек зрения слушает и слышит позицию оппонента, задает открытые вопросы для прояснения его позиции </t>
  </si>
  <si>
    <t>2. Объясняет свою позицию с точки зрения ценности для проекта / команды / заказчика и приводит аргументы</t>
  </si>
  <si>
    <t>3.  Ищет компромиссные решения для достижения целей переговоров (идеально, если с позиции win-win)</t>
  </si>
  <si>
    <t>4. Формулирует свой взгляд на ситуацию, проблему</t>
  </si>
  <si>
    <t>5. Ясно формулирует свою позицию и позицию 2 стороны (в переговорах, конфликтных ситуациях)</t>
  </si>
  <si>
    <t>6. Определяет, что для собеседника важно и предлагает варианты для достижения договоренностей. При возникновении разных позиций, интересов не вовлекается в конфронтацию, а проясняет позиции через открытые вопросы</t>
  </si>
  <si>
    <t>Профессиональное обучение и личностное развитие</t>
  </si>
  <si>
    <t xml:space="preserve">1. Запрашивает и принимает обратную связь от других. Меняет свое поведение с учетом обратной связи </t>
  </si>
  <si>
    <t>2. Развивает технические навыки и отражает их в проектном резюме</t>
  </si>
  <si>
    <t>3. Открыт новому опыту, проявляет гибкость: ищет и находит новые технологии, подходы, инструменты для улучшения работы</t>
  </si>
  <si>
    <t>4. Регулярно дает обратную связь команде</t>
  </si>
  <si>
    <t>Ответственность</t>
  </si>
  <si>
    <t xml:space="preserve">1. Осуществляет регулярный мониторинг и контроль выполнения договоренностей, как со своей стороны, так и со стороны коллег </t>
  </si>
  <si>
    <t>2.Регулярно и системно следует запланированному графику и своевременно сообщает об изменениях/ статусе задачи</t>
  </si>
  <si>
    <t>3.  Занимает проактивную позицию в реализации проекта: делает все необходимое для достижения результата, предвидит и озвучивает риски, предпринимает действия направленные на успешное завершение проекта</t>
  </si>
  <si>
    <t xml:space="preserve">4. Учится на своих ошибках и старается не совершать их в дальнейшем </t>
  </si>
  <si>
    <t>5.  Своевременно и открыто заявляет о наличие возникших проблем</t>
  </si>
  <si>
    <t>6. Проясняет какой конечный результат работы ожидается и в какой срок, фиксирует это.</t>
  </si>
  <si>
    <t>7. В трудной ситуации ищет решение проблемы (собирает информацию, общается с разными людьми, изучает опыт за пределами компании)</t>
  </si>
  <si>
    <t>8. Продолжает предпринимать попытки добиться результата несмотря на неуспехи</t>
  </si>
  <si>
    <t>9. Анализирует сложные ситуации, оценивает риски с целью разрешения ситуации</t>
  </si>
  <si>
    <t>10. Анализирует прошлый период/завершенный проект, делает выводы и делится с коллегами</t>
  </si>
  <si>
    <t>Проведение и участие во встречах</t>
  </si>
  <si>
    <t>Письменная и устная коммуникация</t>
  </si>
  <si>
    <t>Навыки переговоров в производстенных ситуациях</t>
  </si>
  <si>
    <t>Выбери свою роль:</t>
  </si>
  <si>
    <t>Если видишь свои зоны роста по компетенциям "управление проектом" или "управление командой", то укажи, какие именно:</t>
  </si>
  <si>
    <t>Если видишь свои зоны роста по компетенции "устная и письменная коммуникация", то укажи, какие именно:</t>
  </si>
  <si>
    <t>Если видишь свои зоны роста по компетенции "выстраивание долгосрочных партнерских отношений", то укажи, какие именно:</t>
  </si>
  <si>
    <t>Если видишь свои зоны роста по компетенции "взаимодействие в команде", то укажи, какие именно:</t>
  </si>
  <si>
    <t>Если видишь свои зоны роста по компетенции " проведение переговоров в производственных ситуациях", то укажи, какие именно:</t>
  </si>
  <si>
    <t>Если видишь свои зоны роста по компетенции "профессиональное обучение и личностное развитие", то укажи, какие именно:</t>
  </si>
  <si>
    <t>Если видишь свои зоны роста по компетенции "ответственность", то укажи, какие именно:</t>
  </si>
  <si>
    <t>Если видишь свои зоны роста по компетенции "проведение и участие во встречах", то укажи, какие именно:</t>
  </si>
  <si>
    <t>Озвучивает и проговаривает ситуации, которые кажутся сложными и могут в дальнейшем провоцировать конфликт</t>
  </si>
  <si>
    <t>Соблюдает принятые на проекте правила (вовремя приходит на работу, соблюдает требования регламентов, заполняет отчеты), в том числе при взаимодействии с Заказчиком.</t>
  </si>
  <si>
    <t>11. Соблюдает принятые на проекте правила (вовремя приходит на работу, соблюдает требования регламентов, заполняет отчеты), в том числе при взаимодействии с Заказчиком.</t>
  </si>
  <si>
    <t>10. Озвучивает и проговаривает ситуации, которые кажутся сложными и могут в дальнейшем провоцировать конфликт</t>
  </si>
  <si>
    <t>Участвует в телефонных конференциях / встречах: способен четко предоставить информацию по заданной теме / вопросу</t>
  </si>
  <si>
    <t>Оценивает в ходе эффективность проводимой встречи и при необходимости завершает ее с дальнейшим планом действий или планирует последующий логический follow up</t>
  </si>
  <si>
    <t>Поддерживает позитивную атмосферу в команде. Своевременно сообщает руководству проекта о риске возникновения конфликной ситуации в команде или с заказчиком.</t>
  </si>
  <si>
    <t>Осведомлен о трендах развития на рынке компетенций в части своего блока</t>
  </si>
  <si>
    <t>Помогает выстроить трек развития: БОР, ИПР и пр.</t>
  </si>
  <si>
    <t>5. Осведомлен о трендах развития на рынке компетенций в части своего блока</t>
  </si>
  <si>
    <t>6. Помогает выстроить трек развития: БОР, ИПР и пр.</t>
  </si>
  <si>
    <t>Использует профессиональный язык и соответствующий стиль речи, адаптированные под формат аудитории</t>
  </si>
  <si>
    <t>Формулирует и доносит правила работы в команде, которые помогают достигать лучшего результата. Пересматривает, делает исключения из правил, если они мешают достижению наилучшего результата</t>
  </si>
  <si>
    <t>Выстраивает связи с рукодителеми других команд и центров компетенциий для успешной совместной работы</t>
  </si>
  <si>
    <t>14. Поддерживает позитивную атмосферу в команде. Своевременно сообщает руководству проекта о риске возникновения конфликной ситуации в команде или с заказчиком.</t>
  </si>
  <si>
    <t>15. Формулирует и доносит правила работы в команде, которые помогают достигать лучшего результата. Пересматривает, делает исключения из правил, если они мешают достижению наилучшего результата</t>
  </si>
  <si>
    <t>16. Выстраивает связи с рукодителеми других команд и центров компетенциий для успешной совместной работы</t>
  </si>
  <si>
    <t>Формирует структуру и содержание презентации с учетом цели ее проведения. Уделяет внимание визуальной составляющей презентации (при необходимости)</t>
  </si>
  <si>
    <t>Проводит презентацию, рассказывая основную мысль слайдов, но не зачитывая их. Удерживает внимание аудитории</t>
  </si>
  <si>
    <t>Собирает обратную связь от аудитории. Отвечает на вопросы</t>
  </si>
  <si>
    <t>Навыки презентаций ( продажа результатов, опыта, обучение)</t>
  </si>
  <si>
    <t>Если видишь свои зоны роста по компетенции "проведение презентаций", то укажи, какие именно:</t>
  </si>
  <si>
    <t xml:space="preserve">Прокомментируй свой ответ про позитивные или негативные проявления компетенции "Проведение презентаций"
</t>
  </si>
  <si>
    <t>Проведение презентаци</t>
  </si>
  <si>
    <t>Не избегает конфликта, помнит о целях и интересах проекта. Там, где это необходимо, не боится и отстаивает свою позицию (= не быть всегда на поводу у Клиента)</t>
  </si>
  <si>
    <t>11. Не избегает конфликта, помнит о целях и интересах проекта. Там, где это необходимо, не боится и отстаивает свою позицию (= не быть всегда на поводу у Клиента)</t>
  </si>
  <si>
    <t>1. Участвует в телефонных конференциях / встречах: способен четко предоставить информацию по заданной теме / вопросу</t>
  </si>
  <si>
    <t xml:space="preserve">2. Организовывает (выбирает и согласовывает время, подбирает необходимых участников, формирует повестку и создает приглашение) и участвует в телефонных конференциях </t>
  </si>
  <si>
    <t>3. Играет роль модератора встречи: четко обозначает повестку, следит за временем, вовлекает необходимых участников в обсуждение, следит за тем, чтобы обсуждение шло согласно цели и возвращает к обсуждению, в случае если участники "уходят" с повестки</t>
  </si>
  <si>
    <t>4. Фиксация результатов обсуждения в заданном проектом формате. Если формата нет, то может понятно сформулировать договоренности (действие, срок, ответственный и т п)</t>
  </si>
  <si>
    <t>5. Оценивает в ходе эффективность проводимой встречи и при необходимости завершает ее с дальнейшим планом действий или планирует последующий логический follow up</t>
  </si>
  <si>
    <t>1. Формирует структуру и содержание презентации с учетом цели ее проведения. Уделяет внимание визуальной составляющей презентации (при необходимости)</t>
  </si>
  <si>
    <t>Проведение презентаций</t>
  </si>
  <si>
    <t>2. Проводит презентацию, рассказывая основную мысль слайдов, но не зачитывая их. Удерживает внимание аудитории</t>
  </si>
  <si>
    <t>3. Собирает обратную связь от аудитории. Отвечает на вопросы</t>
  </si>
  <si>
    <t>4. Использует профессиональный язык и соответствующий стиль речи, адаптированные под формат аудитории</t>
  </si>
  <si>
    <t>УРОВЕНЬ</t>
  </si>
  <si>
    <t>JUNIOR (МЛАДШИЙ)</t>
  </si>
  <si>
    <t>MIDDLE (СРЕДНИЙ / ПРОСТО АНАЛИТИК)</t>
  </si>
  <si>
    <t>SENIOR (СТАРШИЙ)</t>
  </si>
  <si>
    <t>LEAD (ВЕДУЩИЙ)</t>
  </si>
  <si>
    <t>TEAMLEAD (РУК. ГРУППЫ)</t>
  </si>
  <si>
    <t>0 Индикативный срок при стремлении профессионального роста</t>
  </si>
  <si>
    <t>• min 6 мес и до 1,5 лет. В среднем 9-12 мес</t>
  </si>
  <si>
    <t>• 2-3 года</t>
  </si>
  <si>
    <t>• 3-5 лет</t>
  </si>
  <si>
    <t>• Индивидуально</t>
  </si>
  <si>
    <t>1 ПИСЬМЕННАЯ КОММУНИКАЦИЯ</t>
  </si>
  <si>
    <t>1. Владеет русским языком: пишет без грамматических, пунктуационных и стилистических ошибок</t>
  </si>
  <si>
    <t>1. Четко, кратно и структурированно формулирует основную мысль коммуникации, в том числе в вопросах и ответах собеседников</t>
  </si>
  <si>
    <t>1. В случае запроса к собеседнику четко указывать, что ожидается по результатам коммуникации и в какие сроки (какое действие, с каким результатом)</t>
  </si>
  <si>
    <t>2. Своевременно предоставляет необходимую информацию и ответы: проектные вопросы - в течение дня или согласно SLA проекта, другие - согласно требованиям. Если срок не указан, то разумный подход (не более 2 раб дней)</t>
  </si>
  <si>
    <t>2. Понимает разницу между каналами коммуникации (мессенджеры, почта, телефон) адаптирует свой стиль общения в зависимости от выбранного канала</t>
  </si>
  <si>
    <t>2 УСТНАЯ КОММУНИКАЦИЯ</t>
  </si>
  <si>
    <t>1. Всегда открыт на встречах, озвучивает появляющиеся вопросы, не откладывает коммуникацию “на потом”</t>
  </si>
  <si>
    <t>1. Эффективно устанавливает контакт с собеседником вне зависимости от ситуации = ведет беседу согласно цели коммуникации</t>
  </si>
  <si>
    <t>1. Эмоционально устойчив в стрессовых коммуникациях: не заражается эмоциями, не переходит в наступательную / защитную позиции и ведет конструктивный диалог</t>
  </si>
  <si>
    <t>2. Обладает ясностью речи: нет слов-паразитов, слова произносятся внятно и полностью. Изьясняется простыми для понимания предложениями</t>
  </si>
  <si>
    <t>3 ВЫСТРАИВАНИЕ ДОЛГОСРОЧНЫХ ПАРТНЁРСКИХ ОТНОШЕНИЙ</t>
  </si>
  <si>
    <t>1. Озвучивает и проговаривает ситуации, которые кажутся сложными и могут в дальнейшем провоцировать конфликт</t>
  </si>
  <si>
    <t>1. При принятии решений придерживается не только своей точки зрения, обращает внимание на аргументы, учитывает точку зрения всех коллег/ заказчиков</t>
  </si>
  <si>
    <t>1. Охотно объясняет необходимость и причины изменений/ проясняет ситуацию коллегам/заказчикам на проекте</t>
  </si>
  <si>
    <t>1. Устраняет противоречия между людьми при помощи аргументов и логики, не переходит на личности</t>
  </si>
  <si>
    <t xml:space="preserve">1. Охотно предоставляет помощь и поддержку команде. В случае невозможности помочь, поясняет причины, а не игнорирует </t>
  </si>
  <si>
    <t>2. Понимает ценность выбранного решения для клиента, предпринимает действия для получения заказчиком этой ценности.</t>
  </si>
  <si>
    <t>2. Не избегает конфликта, помнит о целях и интересах проекта. Там, где это необходимо, не боится и отстаивает свою позицию (= не быть всегда на поводу у Клиента)</t>
  </si>
  <si>
    <t>2. Видит потребности клиента,которые выходят за скоуп проекта. Проясняет ценность этого для заказчика и возможные способы решения</t>
  </si>
  <si>
    <t>2. Выстраивает коммуникацию с коллегами/ заказчиками с учетом их эмоцонального состояния.</t>
  </si>
  <si>
    <t>3. Честно и открыто излагает свою точку зрения в команде с учетом контекста и эмоционального состояния собеседника</t>
  </si>
  <si>
    <t>3. При возникновении конфликта обсуждает возможные пути решения и ищет пути примирения с оппонентами</t>
  </si>
  <si>
    <t>4 ОТВЕТСТВЕННОСТЬ</t>
  </si>
  <si>
    <t>1. Осуществляет регулярный мониторинг и контроль выполнения договоренностей, как со своей стороны</t>
  </si>
  <si>
    <t>1. Регулярно и системно следует запланированному графику и своевременно сообщает об изменениях/ статусе задачи</t>
  </si>
  <si>
    <t>1. Понимает границы своей ответственности на проекте, типы задач, которые требуется выполнять. Отвечает за результаты своей работы, осознавая их влияние на результаты проекта в целом. Берет на себя ответственность за свои ошибочные действия и негативный результат</t>
  </si>
  <si>
    <t>1. Занимает проактивную позицию в реализации проекта: делает все необходимое для достижения результата, предвидит и озвучивает риски, предпринимает действия направленные на успешное завершение проекта</t>
  </si>
  <si>
    <t>2. Учится на своих ошибках и старается не совершать их в дальнейшем</t>
  </si>
  <si>
    <t>2. Своевременно и открыто заявляет о наличие возникших проблем. Понимает, когда необходимо эскалировать на руководство</t>
  </si>
  <si>
    <t>2. В трудной ситуации ищет решение проблемы (собирает информацию, общается с разными людьми, изучает опыт за пределами компании).</t>
  </si>
  <si>
    <t>3. Соблюдает принятые в проекте правила (вовремя приходит на работу, соблюдает требования регламентов, заполняет отчеты..), в том числе при взаимодействии с Заказчиком</t>
  </si>
  <si>
    <t>3. Проясняет какой конечный результат работы ожидается и в какой срок, фиксирует это.</t>
  </si>
  <si>
    <t>3. Продолжает предпринимать попытки добиться результата несмотря на неуспехи</t>
  </si>
  <si>
    <t>4. Анализирует сложные ситуации, оценивает риски с целью разрешения ситуации</t>
  </si>
  <si>
    <t>5 ПРОВЕДЕНИЕ И УЧАСТИЕ ВО ВСТРЕЧАХ</t>
  </si>
  <si>
    <t>1. Организовывает встречи при необходимости: подбирает необходимых участников, выбирает и согласовывает доступное время для всех, формирует список вопросов дляповесткиисоздает приглашение в календаре</t>
  </si>
  <si>
    <t>1. Играет роль модератора встречи: четко обозначает повестку, следит за временем, вовлекает необходимых участников в обсуждение, следит за тем, чтобы обсуждение шло согласно цели и возвращает к обсуждению, в случае если участники «уходят» с повестки</t>
  </si>
  <si>
    <t>2. Фиксация результатов обсуждения в заданном проектом формате. Если формата нет, то может понятно сформулировать договоренности (действие, срок, ответственный и т п)</t>
  </si>
  <si>
    <t>2. Оценивает в ходе эффективность проводимой встречи и при необходимости завершает ее с дальнейшим планом действий или планирует последующий логический follow up</t>
  </si>
  <si>
    <t>3. Играет роль модератора встречи: четко обозначает повестку, следит за временем</t>
  </si>
  <si>
    <t>6 ВЗАИМОДЕЙСТВИЕ В КОМАНДЕ</t>
  </si>
  <si>
    <t>1. Всегда предупреждает: о своих отсутствиях на встречах, невозможности выполнить договоренности</t>
  </si>
  <si>
    <t>1. Открыто говорит о сложностях, с которыми сталкивается в работе, и ищет для них решение</t>
  </si>
  <si>
    <t>1. Активно участвует в командных обсуждениях</t>
  </si>
  <si>
    <t>1. Легко общается с людьми любого типа, находит общий язык со многими в проектной команде</t>
  </si>
  <si>
    <t xml:space="preserve">1. Формулирует и доносит правила работы в команде, которые помогают достигать лучшего результата. Пересматривает, делает исключения из правил, если они мешают достижению наилучшего результата </t>
  </si>
  <si>
    <t>2. Поддерживает позитивную атмосферу в команде. Своевременно сообщает руководству проекта о риске возникновения конфликной ситуации в команде или с заказчиком.</t>
  </si>
  <si>
    <t>2. Уважительно и спокойно воспринимает альтернативное мнение коллег</t>
  </si>
  <si>
    <t>2. Выступает с предложениями по улучшению работы, предлагает варианты решения проблем</t>
  </si>
  <si>
    <t>2. Вовлекает в обсуждение всех заинтересованных участников, учитывает мнение других при принятии решения</t>
  </si>
  <si>
    <t>2. Выстраивает связи с рукодителеми других команд и центров компетенциий для успешной совместной работы</t>
  </si>
  <si>
    <t>3. Часто делится своими знаниями и опытом с другими коллегами</t>
  </si>
  <si>
    <t>3. Замечает, когда другим нужна помощь и помогает при необходимости.</t>
  </si>
  <si>
    <t>4. Поддерживает коллег на проекте, при необходимости оказывает помощь</t>
  </si>
  <si>
    <t>4. Подбадривает коллег или периодически разряжает напряженную ситуацию шуткой</t>
  </si>
  <si>
    <t>7 НАВЫКИ ПЕРЕГОВОРОВ В ПРОИЗВОДСТВЕННЫХ СИТУАЦИЯХ (В КОМАНДАХ, С ЗАКАЗЧИКАМИ)</t>
  </si>
  <si>
    <t>1. Ясно формулирует свой взгляд на ситуацию, проблему.</t>
  </si>
  <si>
    <t>1. Ясно формулирует проблему и позиции 2 сторон</t>
  </si>
  <si>
    <t xml:space="preserve">1. В обсуждениях разных точек зрения слушает и слышит позицию оппонента, задает открытые вопросы для прояснения его позиции. </t>
  </si>
  <si>
    <t>1. Ищет компромисные решения для достижения целей переговоров (идеально, если с позиции win-win)</t>
  </si>
  <si>
    <t>2. Объясняет свою позицию с точки зрения ценности для проекта / команды / заказчика и приводить аргументы</t>
  </si>
  <si>
    <t>2. Определяет, что для собеседника важно и предлагает варианты для достижения договоренностей. При возникновении разных позиций, интересов не вовлекаться в конфронтацию, а поясняет позиции через открытые вопросы.</t>
  </si>
  <si>
    <t>8 НАВЫКИ ПРЕЗЕНТАЦИЙ (ПРОДАЖА, РЕЗУЛЬТАТОВ, ОПЫТА, ОБУЧЕНИЕ)</t>
  </si>
  <si>
    <t>1. Собирает обратную связь от аудитории. Отвечает на вопросы</t>
  </si>
  <si>
    <t>2. Использует профессиональный язык и соответствующий стиль речи, адаптированные под формат аудитории</t>
  </si>
  <si>
    <t>3. Проводит презентацию, рассказывая основную мысль слайдов, но не зачитывая их. Удерживает внимание аудитории</t>
  </si>
  <si>
    <t>9 ПРОФЕССИОНАЛЬНОЕ ОБУЧЕНИЕ И ЛИЧНОСТНОЕ РАЗВИТИЕ</t>
  </si>
  <si>
    <t>1. Запрашивает и принимает обратную связь от других. Меняет свое поведение с учетом обратной связи</t>
  </si>
  <si>
    <t>1. Развивает технические навыки и отражает их в проектном резюме</t>
  </si>
  <si>
    <t>1. Регулярно дает обратную связь команде по их компетенциям, развитию в контексте требований проекта</t>
  </si>
  <si>
    <t xml:space="preserve">1. Осведомлен о трендах развития на рынке компетенций в части своего блока </t>
  </si>
  <si>
    <t>2. Открыт новому опыту, проявляет гибкость: ищет и находит новые технологии, подходы, иструменты для улучшения работы.</t>
  </si>
  <si>
    <t>2. Помогает выстроить трек развития: БОР, ИПР и пр.</t>
  </si>
  <si>
    <t>4. Самостоятельно выявляет ценность для клиента и предлагает решения</t>
  </si>
  <si>
    <t>3. Признает успех других, благодарит коллег за помощь и поддержку</t>
  </si>
  <si>
    <t>5. Берет на себя лидерство в проектных встречах, руководит и направляет обсуждение.</t>
  </si>
  <si>
    <t>отсут."нет</t>
  </si>
  <si>
    <t>60-100% - "да"</t>
  </si>
  <si>
    <t>40-60% - "да"</t>
  </si>
  <si>
    <t>0-40% - "да"</t>
  </si>
  <si>
    <t>&gt;40% "нет"</t>
  </si>
  <si>
    <t>&lt;40%-"нет"</t>
  </si>
  <si>
    <t>позитивное проявление компетенции</t>
  </si>
  <si>
    <t>средне-умеренное проявление компетенции</t>
  </si>
  <si>
    <t>мало наблюдений со стороны коллег</t>
  </si>
  <si>
    <t>позитивное проявление компетенции, но стоит обратить внимание</t>
  </si>
  <si>
    <t>позитивное проявление компетенции, но обратить внимание</t>
  </si>
  <si>
    <t>часто (каждый день)</t>
  </si>
  <si>
    <t>Готов дать комментарии сотруднику лично, пусть приходит - поясню.</t>
  </si>
  <si>
    <r>
      <t xml:space="preserve">1. Понимает границы своей ответственности на проекте, типы задач, которые требуется выполнять. И действует, исходя из своей зоны ответственности. </t>
    </r>
    <r>
      <rPr>
        <sz val="11"/>
        <color rgb="FFFF0000"/>
        <rFont val="Calibri"/>
        <family val="2"/>
        <charset val="204"/>
        <scheme val="minor"/>
      </rPr>
      <t>Отвечает за результаты своей работы, осознавая их влияние на результаты проекта в целом. Берет на себя ответственность за свои ошибочные действия и негативный результат</t>
    </r>
  </si>
  <si>
    <t>Teamlead</t>
  </si>
  <si>
    <t>Lead</t>
  </si>
  <si>
    <t>Senior</t>
  </si>
  <si>
    <t>Middle</t>
  </si>
  <si>
    <t>Junior</t>
  </si>
  <si>
    <t>ИТОГОВЫЙ УРОВЕНЬ</t>
  </si>
  <si>
    <t>1. Организовывает встречи при необходимости: подбирает необходимых участников, выбирает и согласовывает доступное время для всех, формирует список вопросов для повесткии, создает приглашение в календаре</t>
  </si>
  <si>
    <t>ПРИМЕЧАНИЕ</t>
  </si>
  <si>
    <t>Индикативный срок при стремлении профессионального роста</t>
  </si>
  <si>
    <t>&gt;40%  - "нет"</t>
  </si>
  <si>
    <t>&lt;40% -"нет"</t>
  </si>
  <si>
    <t>0% - "нет"</t>
  </si>
  <si>
    <t>МАТРИЦА SOFT SKILLS</t>
  </si>
  <si>
    <t>негативные проявления отсутствуют</t>
  </si>
  <si>
    <t>обратить внимание, были негативные проявления</t>
  </si>
  <si>
    <t>скорректировать поведение, много негативных проявлений</t>
  </si>
  <si>
    <r>
      <t>Цель Матрицы soft skills</t>
    </r>
    <r>
      <rPr>
        <sz val="16"/>
        <color theme="1"/>
        <rFont val="Calibri"/>
        <family val="2"/>
        <charset val="204"/>
        <scheme val="minor"/>
      </rPr>
      <t xml:space="preserve"> - помочь руководителю </t>
    </r>
    <r>
      <rPr>
        <b/>
        <sz val="16"/>
        <color theme="1"/>
        <rFont val="Calibri"/>
        <family val="2"/>
        <charset val="204"/>
        <scheme val="minor"/>
      </rPr>
      <t>определить</t>
    </r>
    <r>
      <rPr>
        <sz val="16"/>
        <color theme="1"/>
        <rFont val="Calibri"/>
        <family val="2"/>
        <charset val="204"/>
        <scheme val="minor"/>
      </rPr>
      <t xml:space="preserve"> </t>
    </r>
    <r>
      <rPr>
        <b/>
        <sz val="16"/>
        <color theme="1"/>
        <rFont val="Calibri"/>
        <family val="2"/>
        <charset val="204"/>
        <scheme val="minor"/>
      </rPr>
      <t>уровень владения компетенциями для сотрудника</t>
    </r>
    <r>
      <rPr>
        <sz val="16"/>
        <color theme="1"/>
        <rFont val="Calibri"/>
        <family val="2"/>
        <charset val="204"/>
        <scheme val="minor"/>
      </rPr>
      <t xml:space="preserve">, исходя из обратной связи от коллег и своих наблюдений.
Руководителю </t>
    </r>
    <r>
      <rPr>
        <b/>
        <sz val="16"/>
        <color theme="1"/>
        <rFont val="Calibri"/>
        <family val="2"/>
        <charset val="204"/>
        <scheme val="minor"/>
      </rPr>
      <t>нужно отколлибровать матрицу и определить итоговый уровень владения компетенцией</t>
    </r>
    <r>
      <rPr>
        <sz val="16"/>
        <color theme="1"/>
        <rFont val="Calibri"/>
        <family val="2"/>
        <charset val="204"/>
        <scheme val="minor"/>
      </rPr>
      <t xml:space="preserve">. В столбце L </t>
    </r>
    <r>
      <rPr>
        <b/>
        <sz val="16"/>
        <color theme="1"/>
        <rFont val="Calibri"/>
        <family val="2"/>
        <charset val="204"/>
        <scheme val="minor"/>
      </rPr>
      <t>"ИТОГОВЫЙ УРОВЕНЬ"</t>
    </r>
    <r>
      <rPr>
        <sz val="16"/>
        <color theme="1"/>
        <rFont val="Calibri"/>
        <family val="2"/>
        <charset val="204"/>
        <scheme val="minor"/>
      </rPr>
      <t xml:space="preserve"> выбрать в списке соответствующий уровень для сотрудника. В столбце М</t>
    </r>
    <r>
      <rPr>
        <b/>
        <sz val="16"/>
        <color theme="1"/>
        <rFont val="Calibri"/>
        <family val="2"/>
        <charset val="204"/>
        <scheme val="minor"/>
      </rPr>
      <t xml:space="preserve"> "ПРИМЕЧАНИЕ"</t>
    </r>
    <r>
      <rPr>
        <sz val="16"/>
        <color theme="1"/>
        <rFont val="Calibri"/>
        <family val="2"/>
        <charset val="204"/>
        <scheme val="minor"/>
      </rPr>
      <t xml:space="preserve"> руководитель может зафиксировать свои комментарии по каждой компетенции.
</t>
    </r>
    <r>
      <rPr>
        <b/>
        <sz val="16"/>
        <color theme="1"/>
        <rFont val="Calibri"/>
        <family val="2"/>
        <charset val="204"/>
        <scheme val="minor"/>
      </rPr>
      <t xml:space="preserve">
Итоги данной матрицы будут являться основой для обратной связи сотруднику на ежегодной встрече по подведению итогов и даче обратной связи.
Легенда:</t>
    </r>
  </si>
  <si>
    <t>Навыки переговоров</t>
  </si>
  <si>
    <t>Профессиональное и личностное развитие</t>
  </si>
  <si>
    <t>Навыки презентаций</t>
  </si>
  <si>
    <t>периодически (1-2 раза в неделю)</t>
  </si>
  <si>
    <t>Количество респондентов - 1</t>
  </si>
  <si>
    <t>Важно обсудить на встрече</t>
  </si>
  <si>
    <t xml:space="preserve">Зоны роста: </t>
  </si>
  <si>
    <t>Организовывает (выбирает и согласовывает время, подбирает необходимых участников, формирует повестку и создает приглашение) и участвует в телефонных конференциях  ;Играет роль модератора встречи: четко обозначает повестку, следит за временем, вовлекает необходимых участников в обсуждение, следит за тем, чтобы обсуждение шло согласно цели и возвращает к обсуждению, в случае если участники "уходят" с повестки; Фиксация результатов обсуждения в заданном проектом формате. Если формата нет, то может понятно сформулировать договоренности (действие, срок, ответственный и т п);Участвует в телефонных конференциях / встречах: способен четко предоставить информацию по заданной теме / вопросу;Оценивает в ходе эффективность проводимой встречи и при необходимости завершает ее с дальнейшим планом действий или планирует последующий логический follow up;</t>
  </si>
  <si>
    <t>Бизякина Наталья</t>
  </si>
  <si>
    <t>Ахмедова Дарья</t>
  </si>
  <si>
    <t>Обратную связь от коллег\наставников, точки роста.</t>
  </si>
  <si>
    <t>РЖД: Миграция, СКИМ Ц. Программа обучения молодых специалистов.</t>
  </si>
  <si>
    <t xml:space="preserve">Коммуникации внутри команды. Наставничество внутри проекта. </t>
  </si>
  <si>
    <t xml:space="preserve">В рамках поставленных задач оцениваю свою работу, по большей части, положительно. Если выстраивать рейтинг от лучших к худшим показателям в своей работе, то на последнее место поставила бы ведение базы знаний. Вижу точки роста в написании качественного и понятного каждому текста. </t>
  </si>
  <si>
    <t>Не могу однозначно ответить на этот вопрос, так как он будет исходить исключительного из полученного опыта, а он пока небольшой и не весь функционал на должности опробован. На данный момент наставники предлагают мне возможности проявить себя в разных задачах, а я с радостью этой возможностью пользуюсь как раз для составления мнения о будущем развитии. 
Могу лишь сказать, что сейчас максимальную положительную эмоцию получаю от помощи в адаптации новичков на проекте и решении сложных кейсов, так как с каждым новым более глубоко погружаешься в проект.</t>
  </si>
  <si>
    <t>Участник проектной команды/ Специалист отдела (нет людей в подчинении)</t>
  </si>
  <si>
    <t>Четко, кратко и структурированно формулирует основную мысль коммуникации, в том числе в вопросах и ответах собеседников ;Владеет русским языком: пишет без грамматических, пунктуационных и стилистических ошибок ;Понимает разницу между каналами коммуникации (мессенджеры, почта, телефон) ;Своевременно предоставляет необходимую информацию и ответы  ;Эффективно устанавливает контакт с собеседником вне зависимости от ситуации ;Всегда открыт на встречах, озвучивает появляющиеся вопросы, не откладывает коммуникацию "на потом";Обладает ясностью речи, нет слов-паразитов;Эмоционально устойчив в стрессовых коммуникациях: не заражается эмоциями, не переходит в наступательную / защитную позиции и ведет конструктивный диалог;В случае запроса к собеседнику четко указывает, что ожидается по результатам коммуникации и в какие сроки (какое действие, с каким результатом) ;</t>
  </si>
  <si>
    <t>При принятии решений придерживается не только своей точки зрения, но и других коллег/заказчика ;Объясняет необходимость и причины изменений/проясняет ситуацию коллегам/заказчикам на проекте ;Устраняет противоречия при помощи аргументов и логики, не переходит на личности ;Предоставляет помощь и поддержку команде;Честно и открыто излагает свою точку зрения в команде;Озвучивает и проговаривает ситуации, которые кажутся сложными и могут в дальнейшем провоцировать конфликт;</t>
  </si>
  <si>
    <t>Пропустила утверждения, где упоминался заказчик\клиент, так как имею малый опыт такой коммуникации. Здесь нужно еще себя проверить.</t>
  </si>
  <si>
    <t>Легко общается с людьми любого типа, находит общий язык со многими в проектной команде ;Активно участвует в командных обсуждениях;Всегда предупреждает: о своих отсутствиях на встречах, невозможности выполнить договоренности;Открыто говорит о сложностях, с которыми сталкивается в работе, и ищет для них решение; Вовлекает в обсуждение всех заинтересованных участников, учитывает мнение других при принятии решения;Выступает с предложениями по улучшению работы, предлагает варианты решения проблем ;Часто делится своими знаниями и опытом с другими коллегами;Замечает, когда другим нужна помощь и помогает при необходимости;Уважительно и спокойно воспринимает альтернативное мнение коллег;Подбадривает коллег или периодически разряжает напряженную ситуацию шуткой;Берет на себя лидерство в проектных встречах, руководит и направляет обсуждение ;Признает успех других, благодарит коллег за помощь и поддержку;Поддерживает коллег на проекте, при необходимости оказывает помощь;Формулирует и доносит правила работы в команде, которые помогают достигать лучшего результата. Пересматривает, делает исключения из правил, если они мешают достижению наилучшего результата;</t>
  </si>
  <si>
    <t>В обсуждениях разных точек зрения слушает и слышит позицию оппонента, задает открытые вопросы для прояснения его позиции  ;Объясняет свою позицию с точки зрения ценности для проекта / команды / заказчика и приводит аргументы; Ищет компромиссные решения для достижения целей переговоров (идеально, если с позиции win-win);Формулирует свой взгляд на ситуацию, проблему;Ясно формулирует свою позицию и позицию 2 стороны (в переговорах, конфликтных ситуациях);Определяет, что для собеседника важно и предлагает варианты для достижения договоренностей. При возникновении разных позиций, интересов не вовлекается в конфронтацию, а проясняет позиции через открытые вопросы;</t>
  </si>
  <si>
    <t>Имею малый опыт коммуникации с заказчиком.</t>
  </si>
  <si>
    <t>Запрашивает и принимает обратную связь от других. Меняет свое поведение с учетом обратной связи   ;Развивает технические навыки и отражает их в проектном резюме; Открыт новому опыту, проявляет гибкость: ищет и находит новые технологии, подходы, инструменты для улучшения работы;Осведомлен о трендах развития на рынке компетенций в части своего блока;Регулярно дает обратную связь команде;</t>
  </si>
  <si>
    <t>Не имею опыта в навыках презентации;</t>
  </si>
  <si>
    <t>Осуществляет регулярный мониторинг и контроль выполнения договоренностей, как со своей стороны, так и со стороны коллег ;Регулярно и системно следует запланированному графику и своевременно сообщает об изменениях/ статусе задачи; Занимает проактивную позицию в реализации проекта: делает все необходимое для достижения результата, предвидит и озвучивает риски, предпринимает действия направленные на успешное завершение проекта;Учится на своих ошибках и старается не совершать их в дальнейшем ;Своевременно и открыто заявляет о наличие возникших проблем;Проясняет какой конечный результат работы ожидается и в какой срок, фиксирует это.;В трудной ситуации ищет решение проблемы (собирает информацию, общается с разными людьми, изучает опыт за пределами компании);Продолжает предпринимать попытки добиться результата несмотря на неуспехи;Анализирует сложные ситуации, оценивает риски с целью разрешения ситуации;Анализирует прошлый период/завершенный проект, делает выводы и делится с коллегами;Соблюдает принятые на проекте правила (вовремя приходит на работу, соблюдает требования регламентов, заполняет отчеты), в том числе при взаимодействии с Заказчиком.;</t>
  </si>
  <si>
    <t>Не всегда могу оценить возможные риски, но при повторении ситуации стараюсь повторной ошибки не допустить.</t>
  </si>
  <si>
    <t>Крыжановская Елена</t>
  </si>
  <si>
    <t>Макарова Анна</t>
  </si>
  <si>
    <t>Лера Мещерякова</t>
  </si>
  <si>
    <t>Даша Ахмедова</t>
  </si>
  <si>
    <t>Ситдиков Аяз</t>
  </si>
  <si>
    <t>Марина</t>
  </si>
  <si>
    <t>Ахмедова</t>
  </si>
  <si>
    <t xml:space="preserve">Дарья, объясняла мне реестры и вводила в курс дел на проекте "Миграция". Объяснение было четким и понятным, к ней всегда можно было обратиться за советом и получить ответ или понять куда обратиться далее для решения моей рабочей задачи. С Дарьей очень приятно работать. </t>
  </si>
  <si>
    <t>Леднев Эдуард</t>
  </si>
  <si>
    <t>Самарцева София</t>
  </si>
  <si>
    <t>Участник проектной команды/ Специалист отдела (нет людей в подчинении)</t>
  </si>
  <si>
    <t>зоны роста - это насмотренность и опыт, надо больше опыта</t>
  </si>
  <si>
    <t>Даша большая молодец, вдохнула в нашу команду свежесть и инициативу, спасибо</t>
  </si>
  <si>
    <t>Даша грамотно излагает свои мысли, доходчиво, ёмко и логично объясняет ответ на поставленный вопрос, кроме этого всегда подкрепляет логическую цепочку для нахождения правильного ответа.</t>
  </si>
  <si>
    <t>У Дарьи есть уверенность в том, что она делает и хочет донести коллегам, способность подробно формулировать алгоритм действий в той или иной задаче, думаю, из нее получится хороший наставник (возможно попробует себя в роли наставника стажера).</t>
  </si>
  <si>
    <t xml:space="preserve">Открытость, внимание к деталям </t>
  </si>
  <si>
    <t>задачи СКИМ Ц/ЦЗ-1</t>
  </si>
  <si>
    <t>Благодарю Дашу за супер-ответственность и вовлеченность во все процессы.</t>
  </si>
  <si>
    <t>С софт-скилами всё отлично, будет верным решением заниматься поднятием уровня хард-скилов.</t>
  </si>
  <si>
    <t>За активную помощь в текущей задаче, заинтересованность.</t>
  </si>
  <si>
    <t xml:space="preserve">При работе все было понятно. Коммуникация складывалась эффективно. </t>
  </si>
  <si>
    <t>Возможно больше уверенности в своих знаниях и силах.  У нее классно получается быть наставником и объяснять людям процессы и задачи</t>
  </si>
  <si>
    <t>Спасибо за уделенное время для моей адаптации на проекте и в команде</t>
  </si>
  <si>
    <t>уверенности в себе, а так молодец)</t>
  </si>
  <si>
    <t>Активная, отзывчивая, хвалю за всё)</t>
  </si>
  <si>
    <t xml:space="preserve">У Даши отличные навыки коммуникации, со всеми находит общий язык.
</t>
  </si>
  <si>
    <t xml:space="preserve">Даша имеет крепкую проактивную позицию в команде и берет на себя лидерскую позицию </t>
  </si>
  <si>
    <t xml:space="preserve">1) Повышение экспертного уровня в рамках проекта (наращивание объема знаний)
</t>
  </si>
  <si>
    <t xml:space="preserve">Отдельный лайк за краткое резюме при получении какой-либо информации)
Хочу похвалить за:
1) Высокая ответственность и надежность
2) Готовность помочь коллегам и делиться знаниями
3) Хорошую адаптацию к новым (и не всегда легким) задачам
4) Качественную проработку задач
</t>
  </si>
  <si>
    <t>Младший аналитик</t>
  </si>
  <si>
    <t>Другое: Пропустила утверждения, где упоминался заказчик\клиент, так как имею малый опыт такой коммуникации. Здесь нужно еще себя проверить.</t>
  </si>
  <si>
    <t xml:space="preserve">Зоны роста: Имею малый опыт коммуникации с заказчиком.
</t>
  </si>
  <si>
    <t xml:space="preserve">Другое: Не имею опыта в навыках презентации
</t>
  </si>
  <si>
    <t>Зоны роста: Не всегда могу оценить возможные риски, но при повторении ситуации стараюсь повторной ошибки не допустить.</t>
  </si>
  <si>
    <t>Количество респондентов - 6</t>
  </si>
  <si>
    <t>ак тебя зовут (фамилия, имя)?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</si>
</sst>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theme="0"/>
      <name val="Montserrat"/>
      <charset val="204"/>
    </font>
    <font>
      <sz val="16"/>
      <color theme="0"/>
      <name val="Montserrat"/>
      <charset val="204"/>
    </font>
    <font>
      <sz val="11"/>
      <color theme="1"/>
      <name val="Montserrat"/>
      <charset val="204"/>
    </font>
    <font>
      <sz val="11"/>
      <color theme="3" tint="0.79998168889431442"/>
      <name val="Montserrat"/>
      <charset val="204"/>
    </font>
    <font>
      <sz val="11"/>
      <color theme="0"/>
      <name val="Montserrat ExtraBold"/>
      <charset val="204"/>
    </font>
    <font>
      <sz val="11"/>
      <color theme="1"/>
      <name val="Montserrat ExtraBold"/>
      <charset val="204"/>
    </font>
    <font>
      <b/>
      <sz val="11"/>
      <color theme="0"/>
      <name val="Montserrat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2" tint="-9.9978637043366805E-2"/>
      <name val="Montserrat"/>
      <charset val="204"/>
    </font>
    <font>
      <b/>
      <sz val="11"/>
      <color theme="9" tint="0.39997558519241921"/>
      <name val="Montserrat ExtraBold"/>
      <charset val="204"/>
    </font>
    <font>
      <b/>
      <sz val="16"/>
      <color theme="1"/>
      <name val="Montserrat"/>
      <charset val="204"/>
    </font>
    <font>
      <sz val="12"/>
      <color theme="1"/>
      <name val="Montserrat"/>
      <charset val="204"/>
    </font>
    <font>
      <sz val="12"/>
      <color theme="0"/>
      <name val="Montserrat"/>
      <charset val="204"/>
    </font>
    <font>
      <b/>
      <sz val="11"/>
      <color theme="5" tint="0.59999389629810485"/>
      <name val="Montserrat ExtraBold"/>
      <charset val="204"/>
    </font>
    <font>
      <b/>
      <sz val="12"/>
      <color theme="1"/>
      <name val="Montserrat"/>
      <charset val="204"/>
    </font>
    <font>
      <sz val="12"/>
      <color theme="2" tint="-9.9978637043366805E-2"/>
      <name val="Montserrat"/>
      <charset val="204"/>
    </font>
    <font>
      <sz val="11"/>
      <color theme="3" tint="-0.499984740745262"/>
      <name val="Montserrat"/>
      <charset val="204"/>
    </font>
    <font>
      <sz val="12"/>
      <color theme="3" tint="-0.499984740745262"/>
      <name val="Montserrat"/>
      <charset val="204"/>
    </font>
    <font>
      <b/>
      <sz val="16"/>
      <color theme="3" tint="-0.499984740745262"/>
      <name val="Montserrat"/>
      <charset val="204"/>
    </font>
    <font>
      <b/>
      <sz val="11"/>
      <color theme="0"/>
      <name val="Montserrat ExtraBold"/>
      <charset val="204"/>
    </font>
    <font>
      <b/>
      <sz val="11"/>
      <color theme="0"/>
      <name val="Calibri"/>
      <family val="2"/>
      <scheme val="minor"/>
    </font>
    <font>
      <sz val="11"/>
      <color theme="1"/>
      <name val="Montserrat"/>
    </font>
    <font>
      <b/>
      <sz val="16"/>
      <color theme="1" tint="4.9989318521683403E-2"/>
      <name val="Montserrat"/>
      <charset val="204"/>
    </font>
    <font>
      <sz val="12"/>
      <color rgb="FF000000"/>
      <name val="Segoe UI"/>
      <family val="2"/>
      <charset val="204"/>
    </font>
    <font>
      <sz val="9"/>
      <color theme="1"/>
      <name val="Calibri"/>
      <family val="2"/>
      <charset val="204"/>
      <scheme val="minor"/>
    </font>
    <font>
      <i/>
      <sz val="16"/>
      <color theme="3" tint="-0.499984740745262"/>
      <name val="Montserrat"/>
      <charset val="204"/>
    </font>
    <font>
      <i/>
      <sz val="20"/>
      <color theme="3" tint="-0.499984740745262"/>
      <name val="Montserrat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32"/>
      <color theme="1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3" tint="0.5999938962981048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theme="3" tint="-0.249977111117893"/>
        <bgColor theme="4"/>
      </patternFill>
    </fill>
    <fill>
      <patternFill patternType="solid">
        <fgColor rgb="FFC00000"/>
        <bgColor theme="4"/>
      </patternFill>
    </fill>
    <fill>
      <patternFill patternType="solid">
        <fgColor rgb="FFC3E83A"/>
        <bgColor theme="4"/>
      </patternFill>
    </fill>
    <fill>
      <patternFill patternType="solid">
        <fgColor rgb="FFFDCFCE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9" fillId="0" borderId="0"/>
  </cellStyleXfs>
  <cellXfs count="202">
    <xf numFmtId="0" fontId="0" fillId="0" borderId="0" xfId="0"/>
    <xf numFmtId="0" fontId="1" fillId="4" borderId="0" xfId="0" applyFont="1" applyFill="1"/>
    <xf numFmtId="0" fontId="1" fillId="2" borderId="0" xfId="0" applyFont="1" applyFill="1"/>
    <xf numFmtId="0" fontId="3" fillId="0" borderId="0" xfId="0" applyFont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4" borderId="0" xfId="0" applyFont="1" applyFill="1"/>
    <xf numFmtId="0" fontId="7" fillId="2" borderId="0" xfId="0" applyFont="1" applyFill="1"/>
    <xf numFmtId="0" fontId="0" fillId="0" borderId="0" xfId="0" applyAlignment="1">
      <alignment vertical="center"/>
    </xf>
    <xf numFmtId="0" fontId="1" fillId="5" borderId="0" xfId="0" applyFont="1" applyFill="1" applyAlignment="1">
      <alignment horizontal="left" vertical="center" wrapText="1" inden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10" fillId="8" borderId="0" xfId="0" applyFont="1" applyFill="1" applyAlignment="1">
      <alignment horizontal="left" vertical="center" wrapText="1" indent="1"/>
    </xf>
    <xf numFmtId="0" fontId="3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7" fillId="8" borderId="0" xfId="0" applyFont="1" applyFill="1" applyAlignment="1">
      <alignment horizontal="left" vertical="center" wrapText="1" indent="1"/>
    </xf>
    <xf numFmtId="0" fontId="13" fillId="8" borderId="0" xfId="0" applyFont="1" applyFill="1" applyAlignment="1">
      <alignment horizontal="center" vertical="center"/>
    </xf>
    <xf numFmtId="0" fontId="18" fillId="0" borderId="0" xfId="0" applyFont="1"/>
    <xf numFmtId="0" fontId="19" fillId="11" borderId="0" xfId="0" applyFont="1" applyFill="1" applyAlignment="1">
      <alignment horizontal="left" vertical="center" wrapText="1" indent="1"/>
    </xf>
    <xf numFmtId="0" fontId="4" fillId="12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/>
    </xf>
    <xf numFmtId="0" fontId="4" fillId="1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0" fontId="3" fillId="10" borderId="0" xfId="0" applyFont="1" applyFill="1"/>
    <xf numFmtId="0" fontId="17" fillId="8" borderId="0" xfId="0" applyFont="1" applyFill="1" applyAlignment="1">
      <alignment horizontal="left" vertical="top" wrapText="1"/>
    </xf>
    <xf numFmtId="0" fontId="13" fillId="8" borderId="0" xfId="0" applyFont="1" applyFill="1" applyAlignment="1">
      <alignment horizontal="center" vertical="top"/>
    </xf>
    <xf numFmtId="9" fontId="20" fillId="7" borderId="0" xfId="0" applyNumberFormat="1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22" fillId="13" borderId="1" xfId="0" applyFont="1" applyFill="1" applyBorder="1"/>
    <xf numFmtId="0" fontId="22" fillId="13" borderId="2" xfId="0" applyFont="1" applyFill="1" applyBorder="1"/>
    <xf numFmtId="0" fontId="22" fillId="13" borderId="0" xfId="0" applyFont="1" applyFill="1"/>
    <xf numFmtId="9" fontId="12" fillId="8" borderId="0" xfId="0" applyNumberFormat="1" applyFont="1" applyFill="1" applyAlignment="1">
      <alignment horizontal="center" vertical="center"/>
    </xf>
    <xf numFmtId="9" fontId="0" fillId="0" borderId="0" xfId="0" applyNumberFormat="1"/>
    <xf numFmtId="9" fontId="16" fillId="8" borderId="0" xfId="0" applyNumberFormat="1" applyFont="1" applyFill="1" applyAlignment="1">
      <alignment horizontal="center" vertical="center"/>
    </xf>
    <xf numFmtId="9" fontId="16" fillId="8" borderId="0" xfId="0" applyNumberFormat="1" applyFont="1" applyFill="1" applyAlignment="1">
      <alignment horizontal="center" vertical="top"/>
    </xf>
    <xf numFmtId="9" fontId="24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3" fillId="15" borderId="0" xfId="0" applyFont="1" applyFill="1"/>
    <xf numFmtId="0" fontId="25" fillId="0" borderId="0" xfId="0" applyFont="1"/>
    <xf numFmtId="9" fontId="3" fillId="0" borderId="0" xfId="0" applyNumberFormat="1" applyFont="1"/>
    <xf numFmtId="164" fontId="7" fillId="4" borderId="0" xfId="0" applyNumberFormat="1" applyFont="1" applyFill="1"/>
    <xf numFmtId="0" fontId="22" fillId="16" borderId="1" xfId="0" applyFont="1" applyFill="1" applyBorder="1"/>
    <xf numFmtId="9" fontId="22" fillId="16" borderId="1" xfId="0" applyNumberFormat="1" applyFont="1" applyFill="1" applyBorder="1"/>
    <xf numFmtId="0" fontId="19" fillId="7" borderId="0" xfId="0" applyFont="1" applyFill="1" applyAlignment="1">
      <alignment vertical="top" wrapText="1"/>
    </xf>
    <xf numFmtId="0" fontId="28" fillId="11" borderId="0" xfId="0" applyFont="1" applyFill="1" applyAlignment="1">
      <alignment horizontal="left" vertical="top" wrapText="1" indent="1"/>
    </xf>
    <xf numFmtId="0" fontId="0" fillId="14" borderId="0" xfId="0" applyFill="1"/>
    <xf numFmtId="0" fontId="29" fillId="0" borderId="0" xfId="1"/>
    <xf numFmtId="0" fontId="29" fillId="0" borderId="0" xfId="1" quotePrefix="1"/>
    <xf numFmtId="0" fontId="22" fillId="17" borderId="1" xfId="0" applyFont="1" applyFill="1" applyBorder="1"/>
    <xf numFmtId="0" fontId="22" fillId="18" borderId="1" xfId="0" applyFont="1" applyFill="1" applyBorder="1"/>
    <xf numFmtId="0" fontId="22" fillId="19" borderId="1" xfId="0" applyFont="1" applyFill="1" applyBorder="1"/>
    <xf numFmtId="0" fontId="22" fillId="20" borderId="1" xfId="0" applyFont="1" applyFill="1" applyBorder="1"/>
    <xf numFmtId="0" fontId="22" fillId="21" borderId="1" xfId="0" applyFont="1" applyFill="1" applyBorder="1"/>
    <xf numFmtId="0" fontId="22" fillId="22" borderId="1" xfId="0" applyFont="1" applyFill="1" applyBorder="1"/>
    <xf numFmtId="0" fontId="22" fillId="23" borderId="1" xfId="0" applyFont="1" applyFill="1" applyBorder="1"/>
    <xf numFmtId="0" fontId="22" fillId="24" borderId="1" xfId="0" applyFont="1" applyFill="1" applyBorder="1"/>
    <xf numFmtId="0" fontId="22" fillId="25" borderId="1" xfId="0" applyFont="1" applyFill="1" applyBorder="1"/>
    <xf numFmtId="0" fontId="22" fillId="26" borderId="1" xfId="0" applyFont="1" applyFill="1" applyBorder="1"/>
    <xf numFmtId="0" fontId="22" fillId="27" borderId="1" xfId="0" applyFont="1" applyFill="1" applyBorder="1"/>
    <xf numFmtId="0" fontId="22" fillId="28" borderId="1" xfId="0" applyFont="1" applyFill="1" applyBorder="1"/>
    <xf numFmtId="0" fontId="0" fillId="9" borderId="0" xfId="0" applyFill="1"/>
    <xf numFmtId="0" fontId="22" fillId="29" borderId="1" xfId="0" applyFont="1" applyFill="1" applyBorder="1"/>
    <xf numFmtId="0" fontId="29" fillId="9" borderId="0" xfId="1" applyFill="1"/>
    <xf numFmtId="0" fontId="0" fillId="30" borderId="0" xfId="0" applyFill="1"/>
    <xf numFmtId="9" fontId="0" fillId="9" borderId="0" xfId="0" applyNumberFormat="1" applyFill="1"/>
    <xf numFmtId="0" fontId="29" fillId="9" borderId="0" xfId="1" quotePrefix="1" applyFill="1"/>
    <xf numFmtId="0" fontId="30" fillId="31" borderId="0" xfId="0" applyFont="1" applyFill="1" applyAlignment="1">
      <alignment horizontal="left" vertical="top" wrapText="1"/>
    </xf>
    <xf numFmtId="0" fontId="30" fillId="31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0" fillId="0" borderId="3" xfId="0" applyFont="1" applyFill="1" applyBorder="1" applyAlignment="1">
      <alignment horizontal="left" vertical="top" wrapText="1"/>
    </xf>
    <xf numFmtId="0" fontId="30" fillId="0" borderId="4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/>
    <xf numFmtId="9" fontId="30" fillId="0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2" borderId="0" xfId="0" applyFill="1" applyAlignment="1">
      <alignment horizontal="left" vertical="top" wrapText="1"/>
    </xf>
    <xf numFmtId="0" fontId="0" fillId="0" borderId="0" xfId="0"/>
    <xf numFmtId="0" fontId="0" fillId="14" borderId="1" xfId="0" applyNumberFormat="1" applyFont="1" applyFill="1" applyBorder="1"/>
    <xf numFmtId="0" fontId="0" fillId="14" borderId="1" xfId="0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0" fontId="30" fillId="31" borderId="6" xfId="0" applyFont="1" applyFill="1" applyBorder="1" applyAlignment="1">
      <alignment horizontal="left" vertical="top" wrapText="1"/>
    </xf>
    <xf numFmtId="0" fontId="30" fillId="31" borderId="7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9" fontId="30" fillId="0" borderId="9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30" fillId="0" borderId="9" xfId="0" applyFont="1" applyFill="1" applyBorder="1" applyAlignment="1">
      <alignment horizontal="left" vertical="top" wrapText="1"/>
    </xf>
    <xf numFmtId="0" fontId="0" fillId="0" borderId="10" xfId="0" applyFill="1" applyBorder="1"/>
    <xf numFmtId="0" fontId="0" fillId="0" borderId="11" xfId="0" applyBorder="1"/>
    <xf numFmtId="0" fontId="0" fillId="10" borderId="10" xfId="0" applyFill="1" applyBorder="1"/>
    <xf numFmtId="0" fontId="0" fillId="10" borderId="11" xfId="0" applyFill="1" applyBorder="1"/>
    <xf numFmtId="0" fontId="0" fillId="35" borderId="11" xfId="0" applyFill="1" applyBorder="1"/>
    <xf numFmtId="0" fontId="0" fillId="11" borderId="11" xfId="0" applyFill="1" applyBorder="1"/>
    <xf numFmtId="0" fontId="0" fillId="0" borderId="11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/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9" fontId="30" fillId="0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9" fontId="30" fillId="0" borderId="14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18" xfId="0" applyBorder="1"/>
    <xf numFmtId="0" fontId="0" fillId="0" borderId="18" xfId="0" applyFill="1" applyBorder="1"/>
    <xf numFmtId="0" fontId="32" fillId="0" borderId="11" xfId="0" applyFont="1" applyBorder="1" applyAlignment="1">
      <alignment horizontal="center" vertical="top"/>
    </xf>
    <xf numFmtId="0" fontId="0" fillId="0" borderId="18" xfId="0" applyBorder="1" applyAlignment="1">
      <alignment wrapText="1"/>
    </xf>
    <xf numFmtId="0" fontId="0" fillId="0" borderId="18" xfId="0" applyFill="1" applyBorder="1" applyAlignment="1">
      <alignment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16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30" fillId="7" borderId="6" xfId="0" applyFont="1" applyFill="1" applyBorder="1" applyAlignment="1">
      <alignment horizontal="left" vertical="top" wrapText="1"/>
    </xf>
    <xf numFmtId="0" fontId="30" fillId="31" borderId="18" xfId="0" applyFont="1" applyFill="1" applyBorder="1" applyAlignment="1">
      <alignment horizontal="center" vertical="center" wrapText="1"/>
    </xf>
    <xf numFmtId="0" fontId="30" fillId="10" borderId="22" xfId="0" applyFont="1" applyFill="1" applyBorder="1" applyAlignment="1">
      <alignment horizontal="center" vertical="center"/>
    </xf>
    <xf numFmtId="0" fontId="30" fillId="35" borderId="23" xfId="0" applyFont="1" applyFill="1" applyBorder="1" applyAlignment="1">
      <alignment horizontal="center" vertical="center"/>
    </xf>
    <xf numFmtId="0" fontId="30" fillId="11" borderId="24" xfId="0" applyFont="1" applyFill="1" applyBorder="1" applyAlignment="1">
      <alignment horizontal="center" vertical="center"/>
    </xf>
    <xf numFmtId="0" fontId="30" fillId="31" borderId="17" xfId="0" applyFont="1" applyFill="1" applyBorder="1" applyAlignment="1">
      <alignment horizontal="center" vertical="center" wrapText="1"/>
    </xf>
    <xf numFmtId="0" fontId="30" fillId="31" borderId="11" xfId="0" applyFont="1" applyFill="1" applyBorder="1" applyAlignment="1">
      <alignment horizontal="left" vertical="top" wrapText="1"/>
    </xf>
    <xf numFmtId="0" fontId="30" fillId="31" borderId="10" xfId="0" applyFont="1" applyFill="1" applyBorder="1" applyAlignment="1">
      <alignment horizontal="left" vertical="top" wrapText="1"/>
    </xf>
    <xf numFmtId="0" fontId="30" fillId="7" borderId="0" xfId="0" applyFont="1" applyFill="1" applyBorder="1" applyAlignment="1">
      <alignment horizontal="center" vertical="center" wrapText="1"/>
    </xf>
    <xf numFmtId="0" fontId="35" fillId="33" borderId="22" xfId="0" applyFont="1" applyFill="1" applyBorder="1" applyAlignment="1">
      <alignment horizontal="center" vertical="center"/>
    </xf>
    <xf numFmtId="0" fontId="35" fillId="34" borderId="23" xfId="0" applyFont="1" applyFill="1" applyBorder="1" applyAlignment="1">
      <alignment horizontal="center" vertical="center"/>
    </xf>
    <xf numFmtId="0" fontId="35" fillId="36" borderId="24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 wrapText="1"/>
    </xf>
    <xf numFmtId="0" fontId="30" fillId="31" borderId="9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35" fillId="7" borderId="0" xfId="0" applyFont="1" applyFill="1" applyBorder="1" applyAlignment="1">
      <alignment horizontal="center" vertical="center"/>
    </xf>
    <xf numFmtId="0" fontId="0" fillId="0" borderId="0" xfId="0" applyNumberFormat="1"/>
    <xf numFmtId="0" fontId="3" fillId="7" borderId="0" xfId="0" applyFont="1" applyFill="1"/>
    <xf numFmtId="0" fontId="13" fillId="7" borderId="0" xfId="0" applyFont="1" applyFill="1" applyAlignment="1">
      <alignment vertical="top" wrapText="1"/>
    </xf>
    <xf numFmtId="0" fontId="17" fillId="8" borderId="0" xfId="0" applyFont="1" applyFill="1" applyAlignment="1">
      <alignment horizontal="left" vertical="top" wrapText="1" indent="1"/>
    </xf>
    <xf numFmtId="0" fontId="0" fillId="14" borderId="2" xfId="0" applyNumberFormat="1" applyFont="1" applyFill="1" applyBorder="1"/>
    <xf numFmtId="0" fontId="0" fillId="0" borderId="2" xfId="0" applyNumberFormat="1" applyFont="1" applyBorder="1"/>
    <xf numFmtId="0" fontId="21" fillId="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 wrapText="1" indent="1"/>
    </xf>
    <xf numFmtId="0" fontId="13" fillId="7" borderId="0" xfId="0" applyFont="1" applyFill="1" applyAlignment="1">
      <alignment horizontal="left" vertical="top" wrapText="1" indent="1"/>
    </xf>
    <xf numFmtId="0" fontId="13" fillId="7" borderId="0" xfId="0" applyFont="1" applyFill="1" applyAlignment="1">
      <alignment horizontal="left" vertical="top" wrapText="1"/>
    </xf>
    <xf numFmtId="0" fontId="0" fillId="0" borderId="36" xfId="0" applyBorder="1" applyAlignment="1">
      <alignment horizontal="center"/>
    </xf>
    <xf numFmtId="0" fontId="0" fillId="0" borderId="36" xfId="0" applyBorder="1"/>
    <xf numFmtId="0" fontId="2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30" fillId="31" borderId="4" xfId="0" applyFont="1" applyFill="1" applyBorder="1" applyAlignment="1">
      <alignment horizontal="left" vertical="top" wrapText="1"/>
    </xf>
    <xf numFmtId="0" fontId="0" fillId="31" borderId="5" xfId="0" applyFill="1" applyBorder="1" applyAlignment="1">
      <alignment horizontal="left" vertical="top" wrapText="1"/>
    </xf>
    <xf numFmtId="0" fontId="0" fillId="31" borderId="0" xfId="0" applyFill="1" applyAlignment="1">
      <alignment horizontal="left" vertical="top" wrapText="1"/>
    </xf>
    <xf numFmtId="0" fontId="30" fillId="31" borderId="0" xfId="0" applyFont="1" applyFill="1" applyBorder="1" applyAlignment="1">
      <alignment horizontal="left" vertical="top" wrapText="1"/>
    </xf>
    <xf numFmtId="0" fontId="30" fillId="31" borderId="5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0" fillId="0" borderId="10" xfId="0" applyFill="1" applyBorder="1"/>
    <xf numFmtId="0" fontId="0" fillId="0" borderId="11" xfId="0" applyFill="1" applyBorder="1"/>
    <xf numFmtId="0" fontId="30" fillId="31" borderId="6" xfId="0" applyFont="1" applyFill="1" applyBorder="1" applyAlignment="1">
      <alignment horizontal="left" vertical="top" wrapText="1"/>
    </xf>
    <xf numFmtId="0" fontId="0" fillId="31" borderId="13" xfId="0" applyFill="1" applyBorder="1" applyAlignment="1">
      <alignment horizontal="left" vertical="top" wrapText="1"/>
    </xf>
    <xf numFmtId="0" fontId="0" fillId="31" borderId="10" xfId="0" applyFill="1" applyBorder="1" applyAlignment="1">
      <alignment horizontal="left" vertical="top" wrapText="1"/>
    </xf>
    <xf numFmtId="0" fontId="30" fillId="31" borderId="10" xfId="0" applyFont="1" applyFill="1" applyBorder="1" applyAlignment="1">
      <alignment horizontal="left" vertical="top" wrapText="1"/>
    </xf>
    <xf numFmtId="0" fontId="30" fillId="31" borderId="13" xfId="0" applyFont="1" applyFill="1" applyBorder="1" applyAlignment="1">
      <alignment horizontal="left" vertical="top" wrapText="1"/>
    </xf>
    <xf numFmtId="0" fontId="33" fillId="0" borderId="17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8" fillId="31" borderId="6" xfId="0" applyFont="1" applyFill="1" applyBorder="1" applyAlignment="1">
      <alignment horizontal="center" vertical="top" wrapText="1"/>
    </xf>
    <xf numFmtId="0" fontId="38" fillId="31" borderId="20" xfId="0" applyFont="1" applyFill="1" applyBorder="1" applyAlignment="1">
      <alignment horizontal="center" vertical="top" wrapText="1"/>
    </xf>
    <xf numFmtId="0" fontId="38" fillId="31" borderId="7" xfId="0" applyFont="1" applyFill="1" applyBorder="1" applyAlignment="1">
      <alignment horizontal="center" vertical="top" wrapText="1"/>
    </xf>
    <xf numFmtId="0" fontId="30" fillId="0" borderId="21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30" fillId="0" borderId="30" xfId="0" applyFont="1" applyFill="1" applyBorder="1" applyAlignment="1">
      <alignment horizontal="left" vertical="top" wrapText="1"/>
    </xf>
    <xf numFmtId="0" fontId="30" fillId="0" borderId="33" xfId="0" applyFont="1" applyFill="1" applyBorder="1" applyAlignment="1">
      <alignment horizontal="left" vertical="top" wrapText="1"/>
    </xf>
    <xf numFmtId="0" fontId="30" fillId="0" borderId="34" xfId="0" applyFont="1" applyFill="1" applyBorder="1" applyAlignment="1">
      <alignment horizontal="left" vertical="top" wrapText="1"/>
    </xf>
    <xf numFmtId="0" fontId="30" fillId="0" borderId="29" xfId="0" applyFont="1" applyFill="1" applyBorder="1" applyAlignment="1">
      <alignment horizontal="left" vertical="top" wrapText="1"/>
    </xf>
    <xf numFmtId="0" fontId="30" fillId="0" borderId="3" xfId="0" applyFont="1" applyFill="1" applyBorder="1" applyAlignment="1">
      <alignment horizontal="left" vertical="top" wrapText="1"/>
    </xf>
    <xf numFmtId="0" fontId="30" fillId="0" borderId="12" xfId="0" applyFont="1" applyFill="1" applyBorder="1" applyAlignment="1">
      <alignment horizontal="left" vertical="top" wrapText="1"/>
    </xf>
    <xf numFmtId="0" fontId="30" fillId="0" borderId="31" xfId="0" applyFont="1" applyFill="1" applyBorder="1" applyAlignment="1">
      <alignment horizontal="left" vertical="top" wrapText="1"/>
    </xf>
    <xf numFmtId="0" fontId="30" fillId="0" borderId="35" xfId="0" applyFont="1" applyFill="1" applyBorder="1" applyAlignment="1">
      <alignment horizontal="left" vertical="top" wrapText="1"/>
    </xf>
    <xf numFmtId="0" fontId="30" fillId="0" borderId="15" xfId="0" applyFont="1" applyFill="1" applyBorder="1" applyAlignment="1">
      <alignment horizontal="left" vertical="top" wrapText="1"/>
    </xf>
    <xf numFmtId="0" fontId="36" fillId="0" borderId="1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/>
    </xf>
    <xf numFmtId="0" fontId="34" fillId="0" borderId="11" xfId="0" applyFont="1" applyFill="1" applyBorder="1" applyAlignment="1">
      <alignment horizontal="left" vertical="top" wrapText="1"/>
    </xf>
    <xf numFmtId="0" fontId="30" fillId="0" borderId="25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27" fillId="11" borderId="0" xfId="0" applyFont="1" applyFill="1" applyAlignment="1">
      <alignment horizontal="left" vertical="top" wrapText="1" indent="1"/>
    </xf>
    <xf numFmtId="0" fontId="13" fillId="11" borderId="0" xfId="0" applyFont="1" applyFill="1" applyAlignment="1">
      <alignment vertical="top" wrapText="1"/>
    </xf>
    <xf numFmtId="0" fontId="14" fillId="11" borderId="0" xfId="0" applyFont="1" applyFill="1" applyAlignment="1">
      <alignment vertical="top" wrapText="1"/>
    </xf>
    <xf numFmtId="0" fontId="15" fillId="0" borderId="0" xfId="0" applyFont="1" applyAlignment="1">
      <alignment vertical="center" wrapText="1"/>
    </xf>
    <xf numFmtId="0" fontId="19" fillId="7" borderId="0" xfId="0" applyFont="1" applyFill="1" applyAlignment="1">
      <alignment vertical="top" wrapText="1"/>
    </xf>
  </cellXfs>
  <cellStyles count="2">
    <cellStyle name="Обычный" xfId="0" builtinId="0"/>
    <cellStyle name="Обычный 2" xfId="1" xr:uid="{00000000-0005-0000-0000-00002F000000}"/>
  </cellStyles>
  <dxfs count="564"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theme="0" tint="-4.9989318521683403E-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color theme="0" tint="-0.24994659260841701"/>
      </font>
      <numFmt numFmtId="13" formatCode="0%"/>
      <fill>
        <patternFill>
          <bgColor theme="0"/>
        </patternFill>
      </fill>
    </dxf>
    <dxf>
      <font>
        <color theme="5" tint="-0.24994659260841701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color theme="5" tint="-0.499984740745262"/>
      </font>
      <fill>
        <patternFill>
          <bgColor theme="0"/>
        </patternFill>
      </fill>
    </dxf>
    <dxf>
      <font>
        <b/>
        <i val="0"/>
        <color theme="5" tint="-0.24994659260841701"/>
      </font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color theme="0" tint="-4.9989318521683403E-2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color theme="0" tint="-4.9989318521683403E-2"/>
      </font>
      <fill>
        <patternFill>
          <bgColor theme="0"/>
        </patternFill>
      </fill>
    </dxf>
    <dxf>
      <font>
        <b/>
        <i val="0"/>
        <color rgb="FF00B050"/>
      </font>
    </dxf>
    <dxf>
      <font>
        <b/>
        <i val="0"/>
        <color theme="9" tint="0.59996337778862885"/>
      </font>
    </dxf>
    <dxf>
      <font>
        <b/>
        <i val="0"/>
        <color rgb="FF00B050"/>
      </font>
    </dxf>
    <dxf>
      <font>
        <color theme="7" tint="0.59996337778862885"/>
      </font>
      <fill>
        <patternFill>
          <bgColor theme="0"/>
        </patternFill>
      </fill>
    </dxf>
    <dxf>
      <font>
        <b/>
        <i val="0"/>
        <color rgb="FF00B050"/>
      </font>
    </dxf>
    <dxf>
      <font>
        <b/>
        <i val="0"/>
        <color theme="9" tint="0.59996337778862885"/>
      </font>
    </dxf>
    <dxf>
      <font>
        <color theme="0" tint="-0.24994659260841701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b/>
        <i val="0"/>
        <color rgb="FF00B050"/>
      </font>
    </dxf>
    <dxf>
      <font>
        <b/>
        <i val="0"/>
        <color theme="9" tint="0.59996337778862885"/>
      </font>
    </dxf>
    <dxf>
      <font>
        <color theme="7" tint="0.59996337778862885"/>
      </font>
      <fill>
        <patternFill>
          <bgColor theme="0"/>
        </patternFill>
      </fill>
    </dxf>
    <dxf>
      <font>
        <color theme="0" tint="-0.24994659260841701"/>
      </font>
      <fill>
        <patternFill>
          <bgColor theme="0"/>
        </patternFill>
      </fill>
    </dxf>
    <dxf>
      <font>
        <b/>
        <i val="0"/>
        <color theme="9" tint="0.59996337778862885"/>
      </font>
    </dxf>
    <dxf>
      <font>
        <color theme="0" tint="-0.24994659260841701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b/>
        <i val="0"/>
        <color rgb="FF00B050"/>
      </font>
    </dxf>
    <dxf>
      <font>
        <color theme="7" tint="0.59996337778862885"/>
      </font>
      <fill>
        <patternFill>
          <bgColor theme="0"/>
        </patternFill>
      </fill>
    </dxf>
    <dxf>
      <font>
        <color theme="7" tint="0.59996337778862885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color theme="0" tint="-0.24994659260841701"/>
      </font>
      <fill>
        <patternFill>
          <bgColor theme="0"/>
        </patternFill>
      </fill>
    </dxf>
    <dxf>
      <font>
        <b/>
        <i val="0"/>
        <color theme="9" tint="0.59996337778862885"/>
      </font>
    </dxf>
    <dxf>
      <font>
        <b/>
        <i val="0"/>
        <color rgb="FF00B050"/>
      </font>
    </dxf>
    <dxf>
      <font>
        <b/>
        <i val="0"/>
        <color theme="9" tint="0.59996337778862885"/>
      </font>
    </dxf>
    <dxf>
      <font>
        <color theme="0" tint="-0.24994659260841701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color theme="7" tint="0.59996337778862885"/>
      </font>
      <fill>
        <patternFill>
          <bgColor theme="0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theme="9" tint="0.59996337778862885"/>
      </font>
    </dxf>
    <dxf>
      <font>
        <color theme="0" tint="-0.24994659260841701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color theme="7" tint="0.59996337778862885"/>
      </font>
      <fill>
        <patternFill>
          <bgColor theme="0"/>
        </patternFill>
      </fill>
    </dxf>
    <dxf>
      <font>
        <color theme="0" tint="-0.24994659260841701"/>
      </font>
      <fill>
        <patternFill>
          <bgColor theme="0"/>
        </patternFill>
      </fill>
    </dxf>
    <dxf>
      <font>
        <b/>
        <i val="0"/>
        <color theme="9" tint="0.59996337778862885"/>
      </font>
    </dxf>
    <dxf>
      <font>
        <b/>
        <i val="0"/>
        <color rgb="FF00B050"/>
      </font>
    </dxf>
    <dxf>
      <font>
        <color theme="7" tint="0.59996337778862885"/>
      </font>
      <fill>
        <patternFill>
          <bgColor theme="0"/>
        </patternFill>
      </fill>
    </dxf>
    <dxf>
      <font>
        <color theme="0" tint="-0.14996795556505021"/>
      </font>
      <fill>
        <patternFill>
          <fgColor theme="0"/>
          <bgColor theme="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Montserrat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Montserrat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Montserrat"/>
        <charset val="204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>
          <bgColor rgb="FFFEE9E8"/>
        </patternFill>
      </fill>
    </dxf>
    <dxf>
      <fill>
        <patternFill>
          <bgColor rgb="FFFDCFCE"/>
        </patternFill>
      </fill>
    </dxf>
  </dxfs>
  <tableStyles count="1" defaultTableStyle="TableStyleMedium2" defaultPivotStyle="PivotStyleLight16">
    <tableStyle name="Стиль таблицы 1" pivot="0" count="2" xr9:uid="{00000000-0011-0000-FFFF-FFFF00000000}">
      <tableStyleElement type="firstRowStripe" dxfId="563"/>
      <tableStyleElement type="secondRowStripe" dxfId="562"/>
    </tableStyle>
  </tableStyles>
  <colors>
    <mruColors>
      <color rgb="FFC3E83A"/>
      <color rgb="FFEE6167"/>
      <color rgb="FFFFCCCC"/>
      <color rgb="FFFF9999"/>
      <color rgb="FFFDCFCE"/>
      <color rgb="FF98A5A2"/>
      <color rgb="FFFEE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r>
              <a:rPr lang="ru-RU" sz="1000">
                <a:latin typeface="Montserrat" panose="00000500000000000000" pitchFamily="2" charset="-52"/>
              </a:rPr>
              <a:t>Доволен своими</a:t>
            </a:r>
          </a:p>
          <a:p>
            <a:pPr>
              <a:defRPr sz="1000">
                <a:latin typeface="Montserrat" panose="00000500000000000000" pitchFamily="2" charset="-52"/>
              </a:defRPr>
            </a:pPr>
            <a:r>
              <a:rPr lang="ru-RU" sz="1000">
                <a:latin typeface="Montserrat" panose="00000500000000000000" pitchFamily="2" charset="-52"/>
              </a:rPr>
              <a:t> результатами</a:t>
            </a:r>
            <a:endParaRPr lang="en-US" sz="1000">
              <a:latin typeface="Montserrat" panose="00000500000000000000" pitchFamily="2" charset="-52"/>
            </a:endParaRPr>
          </a:p>
          <a:p>
            <a:pPr>
              <a:defRPr sz="1000">
                <a:latin typeface="Montserrat" panose="00000500000000000000" pitchFamily="2" charset="-52"/>
              </a:defRPr>
            </a:pPr>
            <a:r>
              <a:rPr lang="ru-RU" sz="1000">
                <a:latin typeface="Montserrat" panose="00000500000000000000" pitchFamily="2" charset="-52"/>
              </a:rPr>
              <a:t>(1-10)</a:t>
            </a:r>
          </a:p>
        </c:rich>
      </c:tx>
      <c:layout>
        <c:manualLayout>
          <c:xMode val="edge"/>
          <c:yMode val="edge"/>
          <c:x val="0.3741804333281869"/>
          <c:y val="0.53605927577636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988231863173967"/>
          <c:y val="0.14900657329338257"/>
          <c:w val="0.74160842639768065"/>
          <c:h val="0.78795895304753572"/>
        </c:manualLayout>
      </c:layout>
      <c:doughnutChart>
        <c:varyColors val="1"/>
        <c:ser>
          <c:idx val="0"/>
          <c:order val="0"/>
          <c:tx>
            <c:strRef>
              <c:f>'Самооценка сотрудника'!$A$6</c:f>
              <c:strCache>
                <c:ptCount val="1"/>
                <c:pt idx="0">
                  <c:v>Довлен своми результатами (1-10)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C3E83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133-4F97-9520-AB5690B6CA53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33-4F97-9520-AB5690B6CA53}"/>
              </c:ext>
            </c:extLst>
          </c:dPt>
          <c:dLbls>
            <c:dLbl>
              <c:idx val="0"/>
              <c:layout>
                <c:manualLayout>
                  <c:x val="-0.15023141715128746"/>
                  <c:y val="-0.36391726476668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44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Montserrat Black" panose="00000A00000000000000" pitchFamily="2" charset="-52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3748"/>
                        <a:gd name="adj2" fmla="val 8497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3802343334534163"/>
                      <c:h val="0.416884721834838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4133-4F97-9520-AB5690B6C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 Black" panose="00000A00000000000000" pitchFamily="2" charset="-52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'Самооценка сотрудника'!$B$6:$C$6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3-4F97-9520-AB5690B6C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31957619413043"/>
          <c:y val="0.1528192408170905"/>
          <c:w val="0.77417655998435131"/>
          <c:h val="0.78385711580720585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3E83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087-48E8-97EC-8B7B90E1AABE}"/>
              </c:ext>
            </c:extLst>
          </c:dPt>
          <c:dPt>
            <c:idx val="1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87-48E8-97EC-8B7B90E1AABE}"/>
              </c:ext>
            </c:extLst>
          </c:dPt>
          <c:dPt>
            <c:idx val="2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087-48E8-97EC-8B7B90E1AABE}"/>
              </c:ext>
            </c:extLst>
          </c:dPt>
          <c:dPt>
            <c:idx val="3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87-48E8-97EC-8B7B90E1AABE}"/>
              </c:ext>
            </c:extLst>
          </c:dPt>
          <c:dPt>
            <c:idx val="4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087-48E8-97EC-8B7B90E1AABE}"/>
              </c:ext>
            </c:extLst>
          </c:dPt>
          <c:dPt>
            <c:idx val="5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87-48E8-97EC-8B7B90E1AABE}"/>
              </c:ext>
            </c:extLst>
          </c:dPt>
          <c:dPt>
            <c:idx val="6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87-48E8-97EC-8B7B90E1AABE}"/>
              </c:ext>
            </c:extLst>
          </c:dPt>
          <c:dPt>
            <c:idx val="7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087-48E8-97EC-8B7B90E1AABE}"/>
              </c:ext>
            </c:extLst>
          </c:dPt>
          <c:dPt>
            <c:idx val="8"/>
            <c:invertIfNegative val="0"/>
            <c:bubble3D val="0"/>
            <c:spPr>
              <a:solidFill>
                <a:srgbClr val="C3E8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87-48E8-97EC-8B7B90E1AABE}"/>
              </c:ext>
            </c:extLst>
          </c:dPt>
          <c:dLbls>
            <c:dLbl>
              <c:idx val="7"/>
              <c:spPr>
                <a:solidFill>
                  <a:srgbClr val="C3E83A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087-48E8-97EC-8B7B90E1AA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'Удовлетворенность сотрудника'!$A$2:$A$10</c:f>
              <c:strCache>
                <c:ptCount val="9"/>
                <c:pt idx="0">
                  <c:v>Содержание работы</c:v>
                </c:pt>
                <c:pt idx="1">
                  <c:v>Карьерный рост и его возможности</c:v>
                </c:pt>
                <c:pt idx="2">
                  <c:v>Профессиональное развитие и возможности для него</c:v>
                </c:pt>
                <c:pt idx="3">
                  <c:v>Название и статус моей должности</c:v>
                </c:pt>
                <c:pt idx="4">
                  <c:v>Взаимоотношения с руководителем</c:v>
                </c:pt>
                <c:pt idx="5">
                  <c:v>Взаимоотношения с коллегами в команде</c:v>
                </c:pt>
                <c:pt idx="6">
                  <c:v>Корпоративная культура</c:v>
                </c:pt>
                <c:pt idx="7">
                  <c:v>Уровень заработной платы</c:v>
                </c:pt>
                <c:pt idx="8">
                  <c:v>Условия работы в компании</c:v>
                </c:pt>
              </c:strCache>
            </c:strRef>
          </c:cat>
          <c:val>
            <c:numRef>
              <c:f>'Удовлетворенность сотрудника'!$B$2:$B$10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3-48E4-9431-118161C08B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8231136"/>
        <c:axId val="2005952400"/>
      </c:barChart>
      <c:catAx>
        <c:axId val="13823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952400"/>
        <c:crosses val="autoZero"/>
        <c:auto val="1"/>
        <c:lblAlgn val="ctr"/>
        <c:lblOffset val="100"/>
        <c:noMultiLvlLbl val="0"/>
      </c:catAx>
      <c:valAx>
        <c:axId val="2005952400"/>
        <c:scaling>
          <c:orientation val="minMax"/>
          <c:max val="10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823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22574447646488"/>
          <c:y val="0.14341323527269018"/>
          <c:w val="0.74160842639768065"/>
          <c:h val="0.78795895304753572"/>
        </c:manualLayout>
      </c:layout>
      <c:doughnutChart>
        <c:varyColors val="1"/>
        <c:ser>
          <c:idx val="0"/>
          <c:order val="0"/>
          <c:tx>
            <c:strRef>
              <c:f>'Коллеги_%'!$A$10</c:f>
              <c:strCache>
                <c:ptCount val="1"/>
                <c:pt idx="0">
                  <c:v>Пригласил бы в команду (1-10)</c:v>
                </c:pt>
              </c:strCache>
            </c:strRef>
          </c:tx>
          <c:spPr>
            <a:solidFill>
              <a:srgbClr val="C3E83A"/>
            </a:solidFill>
          </c:spPr>
          <c:dPt>
            <c:idx val="0"/>
            <c:bubble3D val="0"/>
            <c:spPr>
              <a:solidFill>
                <a:srgbClr val="C3E8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F1-4BEC-AC49-3221D0437993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F1-4BEC-AC49-3221D0437993}"/>
              </c:ext>
            </c:extLst>
          </c:dPt>
          <c:dLbls>
            <c:dLbl>
              <c:idx val="0"/>
              <c:layout>
                <c:manualLayout>
                  <c:x val="-5.3240183212392649E-2"/>
                  <c:y val="-0.3894204149728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noAutofit/>
                </a:bodyPr>
                <a:lstStyle/>
                <a:p>
                  <a:pPr>
                    <a:defRPr sz="6600" b="0" i="0" u="none" strike="noStrike" kern="1200" baseline="0">
                      <a:solidFill>
                        <a:schemeClr val="tx1"/>
                      </a:solidFill>
                      <a:latin typeface="Montserrat Black" panose="00000A00000000000000" pitchFamily="2" charset="-52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3748"/>
                        <a:gd name="adj2" fmla="val 8497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317662675838447"/>
                      <c:h val="0.243014314600497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CF1-4BEC-AC49-3221D0437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noAutofit/>
              </a:bodyPr>
              <a:lstStyle/>
              <a:p>
                <a:pPr>
                  <a:defRPr sz="6600" b="0" i="0" u="none" strike="noStrike" kern="1200" baseline="0">
                    <a:solidFill>
                      <a:schemeClr val="tx2">
                        <a:lumMod val="20000"/>
                        <a:lumOff val="80000"/>
                      </a:schemeClr>
                    </a:solidFill>
                    <a:latin typeface="Montserrat Black" panose="00000A00000000000000" pitchFamily="2" charset="-52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'Коллеги_%'!$B$10:$C$10</c:f>
              <c:numCache>
                <c:formatCode>General</c:formatCode>
                <c:ptCount val="2"/>
                <c:pt idx="0" formatCode="0.0">
                  <c:v>9.5714285714285712</c:v>
                </c:pt>
                <c:pt idx="1">
                  <c:v>0.42857142857142883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1-4BEC-AC49-3221D043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4</xdr:row>
      <xdr:rowOff>73025</xdr:rowOff>
    </xdr:from>
    <xdr:to>
      <xdr:col>8</xdr:col>
      <xdr:colOff>247650</xdr:colOff>
      <xdr:row>16</xdr:row>
      <xdr:rowOff>92075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351065</xdr:colOff>
      <xdr:row>4</xdr:row>
      <xdr:rowOff>63501</xdr:rowOff>
    </xdr:from>
    <xdr:to>
      <xdr:col>14</xdr:col>
      <xdr:colOff>103415</xdr:colOff>
      <xdr:row>16</xdr:row>
      <xdr:rowOff>107950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1</xdr:row>
      <xdr:rowOff>57150</xdr:rowOff>
    </xdr:from>
    <xdr:to>
      <xdr:col>11</xdr:col>
      <xdr:colOff>215900</xdr:colOff>
      <xdr:row>18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8</xdr:row>
      <xdr:rowOff>73025</xdr:rowOff>
    </xdr:from>
    <xdr:to>
      <xdr:col>8</xdr:col>
      <xdr:colOff>247650</xdr:colOff>
      <xdr:row>20</xdr:row>
      <xdr:rowOff>92075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Таблица22" displayName="Таблица22" ref="A24:E34" totalsRowShown="0" headerRowDxfId="561" dataDxfId="560">
  <autoFilter ref="A24:E34" xr:uid="{00000000-0009-0000-0100-000001000000}"/>
  <tableColumns count="5">
    <tableColumn id="1" xr3:uid="{00000000-0010-0000-0200-000001000000}" name="Устная и письменная коммуникация" dataDxfId="559"/>
    <tableColumn id="2" xr3:uid="{00000000-0010-0000-0200-000002000000}" name="Сотрудник" dataDxfId="558"/>
    <tableColumn id="3" xr3:uid="{00000000-0010-0000-0200-000003000000}" name="Да" dataDxfId="557"/>
    <tableColumn id="5" xr3:uid="{71A9D231-BD17-4D25-8B9B-0DE68D21B54B}" name="Нет" dataDxfId="556">
      <calculatedColumnFormula>'Оценка коллег'!I25/COUNTA('Оценка коллег'!G2:G12)</calculatedColumnFormula>
    </tableColumn>
    <tableColumn id="4" xr3:uid="{F108CA83-78E3-4783-9339-B7D5659285F3}" name="Не могу оценить" dataDxfId="555">
      <calculatedColumnFormula>'Оценка коллег'!$J$27/COUNTA('Оценка коллег'!$H2:H12)</calculatedColumnFormula>
    </tableColumn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547FA2-F867-4202-869F-EB48ACE1025D}" name="Таблица225" displayName="Таблица225" ref="A39:E51" totalsRowShown="0" headerRowDxfId="554" dataDxfId="553">
  <autoFilter ref="A39:E51" xr:uid="{D5947C64-05A2-414D-ACD6-82D9EA6C6512}"/>
  <tableColumns count="5">
    <tableColumn id="1" xr3:uid="{627A304F-B14C-4243-957C-9DDAE81F3329}" name="Выстраивание долгосрочных партнерских отношений" dataDxfId="552"/>
    <tableColumn id="2" xr3:uid="{0254EA9C-1871-4AAF-9E0C-60733B87F509}" name="Сотрудник" dataDxfId="551"/>
    <tableColumn id="3" xr3:uid="{137E0C7C-38FF-465B-9004-5FEB4F76305D}" name="Да" dataDxfId="550">
      <calculatedColumnFormula>'Оценка коллег'!T27</calculatedColumnFormula>
    </tableColumn>
    <tableColumn id="4" xr3:uid="{CAB7072B-F0FB-411B-9BB8-693130FEF301}" name="Нет" dataDxfId="549">
      <calculatedColumnFormula>'Оценка коллег'!T29</calculatedColumnFormula>
    </tableColumn>
    <tableColumn id="5" xr3:uid="{917C6F25-7B5A-4842-A9D5-A1668977E7C1}" name="Не могу оценить" dataDxfId="548">
      <calculatedColumnFormula>'Оценка коллег'!AE8</calculatedColumnFormula>
    </tableColumn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AE40B1-593D-48A7-8861-5D130824F14D}" name="Таблица2256" displayName="Таблица2256" ref="A54:E71" totalsRowShown="0" headerRowDxfId="547" dataDxfId="546">
  <autoFilter ref="A54:E71" xr:uid="{AEF01103-65A9-4EA2-9FB0-0260C7223E95}"/>
  <tableColumns count="5">
    <tableColumn id="1" xr3:uid="{4D3BA37B-6C32-4E33-B409-152923EFE7C7}" name="Взаимодействие в команде" dataDxfId="545"/>
    <tableColumn id="2" xr3:uid="{CEA52545-5C26-4C2B-A7C6-CBF17FBC871E}" name="Сотрудник" dataDxfId="544"/>
    <tableColumn id="3" xr3:uid="{1CB11261-90F6-43D3-A28E-A9E6BE035B07}" name="Да" dataDxfId="543">
      <calculatedColumnFormula>'Оценка коллег'!AI26</calculatedColumnFormula>
    </tableColumn>
    <tableColumn id="4" xr3:uid="{E615BD37-531F-44CC-A21E-357959CEB2F0}" name="Нет" dataDxfId="542">
      <calculatedColumnFormula>'Оценка коллег'!AK25</calculatedColumnFormula>
    </tableColumn>
    <tableColumn id="5" xr3:uid="{7AE5F43D-6DFE-4F39-A1ED-DD4A8AE28FAD}" name="Не могу оценить" dataDxfId="541">
      <calculatedColumnFormula>'Оценка коллег'!AK26</calculatedColumnFormula>
    </tableColumn>
  </tableColumns>
  <tableStyleInfo name="TableStyleDark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446752-B8EB-461B-A78F-755801AB1C2A}" name="Таблица22568" displayName="Таблица22568" ref="A87:E94" totalsRowShown="0" headerRowDxfId="540" dataDxfId="539">
  <autoFilter ref="A87:E94" xr:uid="{53BA651C-251B-4DDE-A1FB-C4F6C3FDC3A1}"/>
  <tableColumns count="5">
    <tableColumn id="1" xr3:uid="{6EB33D2B-C29A-4B64-827D-06D028F5E0B8}" name="Навыки переговоров в производственных ситуациях (в командах, с заказчиками)" dataDxfId="538"/>
    <tableColumn id="2" xr3:uid="{A2326EEA-C92F-47DD-905F-906062C1B5A1}" name="Сотрудник" dataDxfId="537"/>
    <tableColumn id="3" xr3:uid="{FC4980D8-E02F-4597-91C6-B33F69CD1C39}" name="Да" dataDxfId="536">
      <calculatedColumnFormula>'Оценка коллег'!AN27</calculatedColumnFormula>
    </tableColumn>
    <tableColumn id="4" xr3:uid="{7F4E4466-6F8A-41FC-AFAA-26008CEB5B00}" name="Нет" dataDxfId="535">
      <calculatedColumnFormula>'Оценка коллег'!AM29</calculatedColumnFormula>
    </tableColumn>
    <tableColumn id="5" xr3:uid="{1D11B8F7-71D8-4574-A3A1-C45265D0FFC1}" name="Не могу оценить" dataDxfId="534">
      <calculatedColumnFormula>'Оценка коллег'!AP29</calculatedColumnFormula>
    </tableColumn>
  </tableColumns>
  <tableStyleInfo name="TableStyleDark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50E4F4-E16D-4E1B-AD7A-BF3A9BBB4687}" name="Таблица225689" displayName="Таблица225689" ref="A104:E111" totalsRowShown="0" headerRowDxfId="533" dataDxfId="532">
  <autoFilter ref="A104:E111" xr:uid="{25C06ED0-CEC8-4BD0-A8C6-56BDB98FFA41}"/>
  <tableColumns count="5">
    <tableColumn id="1" xr3:uid="{764261D4-D1B2-463A-8B10-CC2EEA555498}" name="Профессиональное обучение и личностное развитие" dataDxfId="531"/>
    <tableColumn id="2" xr3:uid="{E94DAD88-91B1-47D5-9B4F-0F204F64C040}" name="Сотрудник" dataDxfId="530"/>
    <tableColumn id="3" xr3:uid="{10CBB1A2-D7AC-4F78-9386-54833FF9F575}" name="Да" dataDxfId="529">
      <calculatedColumnFormula>'Оценка коллег'!AV26</calculatedColumnFormula>
    </tableColumn>
    <tableColumn id="4" xr3:uid="{0B413244-213B-4C18-87AF-D3EC70ADC9EC}" name="Нет" dataDxfId="528">
      <calculatedColumnFormula>'Оценка коллег'!AR29</calculatedColumnFormula>
    </tableColumn>
    <tableColumn id="5" xr3:uid="{1A58DC53-14EA-42A1-AFE1-348469D67E50}" name="Не могу оценить" dataDxfId="527">
      <calculatedColumnFormula>'Оценка коллег'!AR30</calculatedColumnFormula>
    </tableColumn>
  </tableColumns>
  <tableStyleInfo name="TableStyleDark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B2D8B-206D-4E95-A004-3604F94E11A1}" name="Таблица22563" displayName="Таблица22563" ref="A124:E135" totalsRowShown="0" headerRowDxfId="526" dataDxfId="525">
  <autoFilter ref="A124:E135" xr:uid="{CDB5BB03-98A9-46F0-B481-8FE9B3B0470E}"/>
  <tableColumns count="5">
    <tableColumn id="1" xr3:uid="{C3964C45-2BC2-4B70-8B64-74CB2F7805C7}" name="Управление командой" dataDxfId="524"/>
    <tableColumn id="2" xr3:uid="{B13321B7-95FE-4DD5-86BF-BF2E1E3642F6}" name="Сотрудник" dataDxfId="523"/>
    <tableColumn id="3" xr3:uid="{5DCD5627-7A79-474D-AA35-7F1814DCF3CB}" name="Да" dataDxfId="522">
      <calculatedColumnFormula>'Оценка коллег'!#REF!</calculatedColumnFormula>
    </tableColumn>
    <tableColumn id="4" xr3:uid="{D17C558C-506A-4967-B443-BCC6BBEDCDC4}" name="Нет" dataDxfId="521">
      <calculatedColumnFormula>'Оценка коллег'!#REF!</calculatedColumnFormula>
    </tableColumn>
    <tableColumn id="5" xr3:uid="{E2627B90-34B0-44B4-A134-66365E967368}" name="Не могу оценить" dataDxfId="520">
      <calculatedColumnFormula>'Оценка коллег'!#REF!</calculatedColumnFormula>
    </tableColumn>
  </tableColumns>
  <tableStyleInfo name="TableStyleDark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627E68-58E0-4DB6-89DA-CC40BAAA6665}" name="Таблица225634" displayName="Таблица225634" ref="A138:E146" totalsRowShown="0" headerRowDxfId="519" dataDxfId="518">
  <autoFilter ref="A138:E146" xr:uid="{63BED8A9-6ADA-44FC-B9CA-92035AB0B877}"/>
  <tableColumns count="5">
    <tableColumn id="1" xr3:uid="{4C6F0CFC-5EC1-4C23-99EB-0F3F2011DC46}" name="Управление проектом" dataDxfId="517"/>
    <tableColumn id="2" xr3:uid="{A0B8B8AA-6655-4424-A851-1D7953B9F7C4}" name="Сотрудник" dataDxfId="516"/>
    <tableColumn id="3" xr3:uid="{25358301-0470-4908-9EA8-889AC9D60EF3}" name="Да" dataDxfId="515">
      <calculatedColumnFormula>'Оценка коллег'!AI54</calculatedColumnFormula>
    </tableColumn>
    <tableColumn id="4" xr3:uid="{3331A3F0-00CE-4378-A0DA-9C51BB378B5E}" name="Нет" dataDxfId="514">
      <calculatedColumnFormula>'Оценка коллег'!AK53</calculatedColumnFormula>
    </tableColumn>
    <tableColumn id="5" xr3:uid="{DE79B585-5AA6-4C03-B5F5-3428CD6D72BA}" name="Не могу оценить" dataDxfId="513">
      <calculatedColumnFormula>'Оценка коллег'!AK54</calculatedColumnFormula>
    </tableColumn>
  </tableColumns>
  <tableStyleInfo name="TableStyleDark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7F6481-7706-4834-9F3A-40F6D2272C08}" name="Таблица22567" displayName="Таблица22567" ref="A73:E85" totalsRowShown="0" headerRowDxfId="512" dataDxfId="511">
  <autoFilter ref="A73:E85" xr:uid="{D20E575F-9878-4DB5-AC6E-0E4DEEEB45A3}"/>
  <tableColumns count="5">
    <tableColumn id="1" xr3:uid="{B82A305F-C647-46CF-AE21-9ED7024D4222}" name="Ответственность" dataDxfId="510"/>
    <tableColumn id="2" xr3:uid="{ABE80BD3-716C-4404-93DF-CA0FE4433489}" name="Сотрудник" dataDxfId="509"/>
    <tableColumn id="3" xr3:uid="{216ED52D-F543-4F4A-A681-165E9310908A}" name="Да" dataDxfId="508">
      <calculatedColumnFormula>'Оценка коллег'!AI42</calculatedColumnFormula>
    </tableColumn>
    <tableColumn id="4" xr3:uid="{F5C4CFC3-7068-42C5-BB62-AFB7777AB208}" name="Нет" dataDxfId="507">
      <calculatedColumnFormula>'Оценка коллег'!AK41</calculatedColumnFormula>
    </tableColumn>
    <tableColumn id="5" xr3:uid="{1C51FBC8-1683-4945-8BCB-34308E81DF71}" name="Не могу оценить" dataDxfId="506">
      <calculatedColumnFormula>'Оценка коллег'!AK42</calculatedColumnFormula>
    </tableColumn>
  </tableColumns>
  <tableStyleInfo name="TableStyleDark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E104AE-6F82-47FB-A482-AC3321D5A52D}" name="Таблица22568910" displayName="Таблица22568910" ref="A96:E102" totalsRowShown="0" headerRowDxfId="505" dataDxfId="504">
  <autoFilter ref="A96:E102" xr:uid="{055EEAA1-961C-45EC-9CD3-52809D67711F}"/>
  <tableColumns count="5">
    <tableColumn id="1" xr3:uid="{676C5A50-366F-46BE-B89D-5BC80C582173}" name="Проведение и участие во встречах" dataDxfId="503"/>
    <tableColumn id="2" xr3:uid="{4C756272-0943-49FC-A77E-B5B28EB79A6E}" name="Сотрудник" dataDxfId="502"/>
    <tableColumn id="3" xr3:uid="{3CEFAB8F-C2F0-41ED-91C6-FFF708E546F9}" name="Да" dataDxfId="501">
      <calculatedColumnFormula>'Оценка коллег'!AV19</calculatedColumnFormula>
    </tableColumn>
    <tableColumn id="4" xr3:uid="{F3859ED8-1560-48F3-92E5-8ABDBA8CC49D}" name="Нет" dataDxfId="500">
      <calculatedColumnFormula>'Оценка коллег'!AR22</calculatedColumnFormula>
    </tableColumn>
    <tableColumn id="5" xr3:uid="{7EE2D3C5-1201-4E3F-88D7-7292043F2F7D}" name="Не могу оценить" dataDxfId="499">
      <calculatedColumnFormula>'Оценка коллег'!AR23</calculatedColumnFormula>
    </tableColumn>
  </tableColumns>
  <tableStyleInfo name="TableStyleDark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7542ED-6873-4F17-8F6D-5132C7DEB854}" name="Таблица22568911" displayName="Таблица22568911" ref="A113:E118" totalsRowShown="0" headerRowDxfId="498" dataDxfId="497">
  <autoFilter ref="A113:E118" xr:uid="{6F6154F6-4A1F-4BDB-982A-8B5E7B5A4980}"/>
  <tableColumns count="5">
    <tableColumn id="1" xr3:uid="{A99C4D84-2FC6-49B8-862D-FA3613FD7355}" name="Проведение презентаций" dataDxfId="496"/>
    <tableColumn id="2" xr3:uid="{E66513C7-7D39-459F-9E82-98A282CBF4AA}" name="Сотрудник" dataDxfId="495"/>
    <tableColumn id="3" xr3:uid="{4A7F8122-97A3-4050-B3C7-352AB04812B2}" name="Да" dataDxfId="494">
      <calculatedColumnFormula>'Оценка коллег'!AV35</calculatedColumnFormula>
    </tableColumn>
    <tableColumn id="4" xr3:uid="{10B43AFE-86BE-4E7D-B156-2A32866814B9}" name="Нет" dataDxfId="493">
      <calculatedColumnFormula>'Оценка коллег'!AR38</calculatedColumnFormula>
    </tableColumn>
    <tableColumn id="5" xr3:uid="{89DA353F-1E91-4519-A3AF-4DC4D2AD7727}" name="Не могу оценить" dataDxfId="492">
      <calculatedColumnFormula>'Оценка коллег'!AR39</calculatedColumnFormula>
    </tableColumn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5"/>
  <sheetViews>
    <sheetView showGridLines="0" zoomScaleNormal="100" workbookViewId="0">
      <selection activeCell="B29" sqref="B29"/>
    </sheetView>
  </sheetViews>
  <sheetFormatPr defaultColWidth="8.7109375" defaultRowHeight="15" x14ac:dyDescent="0.25"/>
  <cols>
    <col min="1" max="1" width="30.140625" customWidth="1"/>
    <col min="2" max="2" width="39.28515625" customWidth="1"/>
    <col min="3" max="3" width="15.42578125" customWidth="1"/>
    <col min="4" max="4" width="12.140625" customWidth="1"/>
  </cols>
  <sheetData>
    <row r="1" spans="1:3" s="9" customFormat="1" ht="31.5" customHeight="1" x14ac:dyDescent="0.25">
      <c r="A1" s="23" t="s">
        <v>0</v>
      </c>
      <c r="B1" s="24" t="s">
        <v>394</v>
      </c>
    </row>
    <row r="2" spans="1:3" s="9" customFormat="1" ht="31.5" customHeight="1" x14ac:dyDescent="0.25">
      <c r="A2" s="25" t="s">
        <v>1</v>
      </c>
      <c r="B2" s="27" t="s">
        <v>440</v>
      </c>
    </row>
    <row r="3" spans="1:3" s="9" customFormat="1" ht="31.5" customHeight="1" x14ac:dyDescent="0.25">
      <c r="A3" s="23" t="s">
        <v>2</v>
      </c>
      <c r="B3" s="24" t="s">
        <v>420</v>
      </c>
    </row>
    <row r="4" spans="1:3" s="9" customFormat="1" ht="30.6" customHeight="1" x14ac:dyDescent="0.25">
      <c r="A4" s="25" t="s">
        <v>3</v>
      </c>
      <c r="B4" s="27" t="s">
        <v>393</v>
      </c>
    </row>
    <row r="5" spans="1:3" s="9" customFormat="1" ht="45.95" customHeight="1" x14ac:dyDescent="0.25">
      <c r="A5" s="26" t="s">
        <v>25</v>
      </c>
      <c r="B5" s="24" t="str">
        <f>'Самооценка сотрудника'!C2</f>
        <v>РЖД: Миграция, СКИМ Ц. Программа обучения молодых специалистов.</v>
      </c>
    </row>
    <row r="7" spans="1:3" ht="27.6" customHeight="1" x14ac:dyDescent="0.25">
      <c r="A7" s="147" t="s">
        <v>390</v>
      </c>
      <c r="B7" s="147"/>
      <c r="C7" s="147"/>
    </row>
    <row r="8" spans="1:3" ht="38.1" customHeight="1" x14ac:dyDescent="0.25">
      <c r="A8" s="148" t="str">
        <f>'Самооценка сотрудника'!B2</f>
        <v>Обратную связь от коллег\наставников, точки роста.</v>
      </c>
      <c r="B8" s="148"/>
      <c r="C8" s="148"/>
    </row>
    <row r="9" spans="1:3" ht="38.450000000000003" customHeight="1" x14ac:dyDescent="0.25">
      <c r="A9" s="10"/>
      <c r="B9" s="10"/>
      <c r="C9" s="11"/>
    </row>
    <row r="10" spans="1:3" x14ac:dyDescent="0.25">
      <c r="C10" s="12"/>
    </row>
    <row r="11" spans="1:3" hidden="1" x14ac:dyDescent="0.25">
      <c r="C11" s="12" t="s">
        <v>5</v>
      </c>
    </row>
    <row r="12" spans="1:3" hidden="1" x14ac:dyDescent="0.25">
      <c r="C12" s="12"/>
    </row>
    <row r="13" spans="1:3" hidden="1" x14ac:dyDescent="0.25">
      <c r="C13" s="12" t="s">
        <v>4</v>
      </c>
    </row>
    <row r="14" spans="1:3" x14ac:dyDescent="0.25">
      <c r="C14" s="12"/>
    </row>
    <row r="15" spans="1:3" x14ac:dyDescent="0.25">
      <c r="C15" s="12"/>
    </row>
  </sheetData>
  <mergeCells count="2">
    <mergeCell ref="A7:C7"/>
    <mergeCell ref="A8:C8"/>
  </mergeCells>
  <conditionalFormatting sqref="C9:C16">
    <cfRule type="cellIs" dxfId="491" priority="2" operator="equal">
      <formula>"☹"</formula>
    </cfRule>
  </conditionalFormatting>
  <conditionalFormatting sqref="C9:C18">
    <cfRule type="cellIs" dxfId="490" priority="1" operator="equal">
      <formula>"☻"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Y30"/>
  <sheetViews>
    <sheetView showGridLines="0" zoomScale="70" zoomScaleNormal="70" workbookViewId="0">
      <selection activeCell="A21" sqref="A21"/>
    </sheetView>
  </sheetViews>
  <sheetFormatPr defaultColWidth="8.7109375" defaultRowHeight="18" x14ac:dyDescent="0.35"/>
  <cols>
    <col min="1" max="1" width="57" style="3" customWidth="1"/>
    <col min="2" max="2" width="15.42578125" style="3" customWidth="1"/>
    <col min="3" max="3" width="10.140625" style="3" customWidth="1"/>
    <col min="4" max="16384" width="8.7109375" style="3"/>
  </cols>
  <sheetData>
    <row r="1" spans="1:51" x14ac:dyDescent="0.35">
      <c r="A1" s="33" t="s">
        <v>30</v>
      </c>
      <c r="B1" s="33" t="s">
        <v>31</v>
      </c>
      <c r="C1" s="33" t="s">
        <v>32</v>
      </c>
      <c r="D1" s="33" t="s">
        <v>33</v>
      </c>
      <c r="E1" s="33" t="s">
        <v>34</v>
      </c>
      <c r="F1" s="33" t="s">
        <v>35</v>
      </c>
      <c r="G1" s="33" t="s">
        <v>36</v>
      </c>
      <c r="H1" s="33" t="s">
        <v>221</v>
      </c>
      <c r="I1" s="33" t="s">
        <v>52</v>
      </c>
      <c r="J1" s="33" t="s">
        <v>53</v>
      </c>
      <c r="K1" s="33" t="s">
        <v>222</v>
      </c>
      <c r="L1" s="33" t="s">
        <v>160</v>
      </c>
      <c r="M1" s="33" t="s">
        <v>223</v>
      </c>
      <c r="N1" s="33" t="s">
        <v>171</v>
      </c>
      <c r="O1" s="33" t="s">
        <v>224</v>
      </c>
      <c r="P1" s="33" t="s">
        <v>181</v>
      </c>
      <c r="Q1" s="33" t="s">
        <v>225</v>
      </c>
      <c r="R1" s="33" t="s">
        <v>195</v>
      </c>
      <c r="S1" s="33" t="s">
        <v>226</v>
      </c>
      <c r="T1" s="33" t="s">
        <v>202</v>
      </c>
      <c r="U1" s="33" t="s">
        <v>227</v>
      </c>
      <c r="V1" s="33" t="s">
        <v>218</v>
      </c>
      <c r="W1" s="33" t="s">
        <v>229</v>
      </c>
      <c r="X1" s="33" t="s">
        <v>250</v>
      </c>
      <c r="Y1" s="33" t="s">
        <v>251</v>
      </c>
      <c r="Z1" s="33" t="s">
        <v>207</v>
      </c>
      <c r="AA1" s="33" t="s">
        <v>228</v>
      </c>
      <c r="AB1" s="33" t="s">
        <v>37</v>
      </c>
      <c r="AC1" s="33" t="s">
        <v>38</v>
      </c>
      <c r="AD1" s="33" t="s">
        <v>39</v>
      </c>
      <c r="AE1" s="33" t="s">
        <v>40</v>
      </c>
      <c r="AF1" s="33" t="s">
        <v>41</v>
      </c>
      <c r="AG1" s="33" t="s">
        <v>42</v>
      </c>
      <c r="AH1" s="33" t="s">
        <v>43</v>
      </c>
      <c r="AI1" s="33" t="s">
        <v>44</v>
      </c>
      <c r="AJ1" s="34" t="s">
        <v>45</v>
      </c>
    </row>
    <row r="2" spans="1:51" x14ac:dyDescent="0.35">
      <c r="A2" s="141" t="s">
        <v>394</v>
      </c>
      <c r="B2" s="141" t="s">
        <v>395</v>
      </c>
      <c r="C2" s="141" t="s">
        <v>396</v>
      </c>
      <c r="D2" s="86">
        <v>8</v>
      </c>
      <c r="E2" s="141" t="s">
        <v>397</v>
      </c>
      <c r="F2" s="141" t="s">
        <v>398</v>
      </c>
      <c r="G2" s="141" t="s">
        <v>399</v>
      </c>
      <c r="H2" s="141" t="s">
        <v>400</v>
      </c>
      <c r="I2" s="141"/>
      <c r="J2" s="141"/>
      <c r="K2" s="141"/>
      <c r="L2" s="141" t="s">
        <v>401</v>
      </c>
      <c r="M2" s="141"/>
      <c r="N2" s="141" t="s">
        <v>402</v>
      </c>
      <c r="O2" s="141" t="s">
        <v>403</v>
      </c>
      <c r="P2" s="141" t="s">
        <v>404</v>
      </c>
      <c r="Q2" s="141"/>
      <c r="R2" s="141" t="s">
        <v>405</v>
      </c>
      <c r="S2" s="141" t="s">
        <v>406</v>
      </c>
      <c r="T2" s="141" t="s">
        <v>407</v>
      </c>
      <c r="U2" s="141"/>
      <c r="V2" s="141" t="s">
        <v>392</v>
      </c>
      <c r="W2" s="141"/>
      <c r="X2" s="141" t="s">
        <v>408</v>
      </c>
      <c r="Y2" s="141"/>
      <c r="Z2" s="141" t="s">
        <v>409</v>
      </c>
      <c r="AA2" s="141" t="s">
        <v>410</v>
      </c>
      <c r="AB2" s="86">
        <v>10</v>
      </c>
      <c r="AC2" s="86">
        <v>10</v>
      </c>
      <c r="AD2" s="86">
        <v>10</v>
      </c>
      <c r="AE2" s="86">
        <v>10</v>
      </c>
      <c r="AF2" s="86">
        <v>10</v>
      </c>
      <c r="AG2" s="86">
        <v>10</v>
      </c>
      <c r="AH2" s="86">
        <v>10</v>
      </c>
      <c r="AI2" s="86">
        <v>9</v>
      </c>
      <c r="AJ2" s="86">
        <v>9</v>
      </c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</row>
    <row r="5" spans="1:51" x14ac:dyDescent="0.35">
      <c r="A5" s="5" t="s">
        <v>6</v>
      </c>
      <c r="B5" s="6"/>
      <c r="C5" s="4"/>
    </row>
    <row r="6" spans="1:51" x14ac:dyDescent="0.35">
      <c r="A6" s="1" t="s">
        <v>9</v>
      </c>
      <c r="B6" s="7">
        <f>D2</f>
        <v>8</v>
      </c>
      <c r="C6" s="1">
        <f>10-B6</f>
        <v>2</v>
      </c>
    </row>
    <row r="18" spans="1:5" ht="15.95" customHeight="1" x14ac:dyDescent="0.35">
      <c r="A18" s="3" t="s">
        <v>10</v>
      </c>
    </row>
    <row r="19" spans="1:5" ht="49.5" customHeight="1" x14ac:dyDescent="0.35">
      <c r="A19" s="150" t="str">
        <f>E2</f>
        <v xml:space="preserve">Коммуникации внутри команды. Наставничество внутри проекта. </v>
      </c>
      <c r="B19" s="143"/>
      <c r="C19" s="143"/>
      <c r="D19" s="143"/>
      <c r="E19" s="143"/>
    </row>
    <row r="20" spans="1:5" ht="174.95" hidden="1" customHeight="1" x14ac:dyDescent="0.35">
      <c r="A20" s="150"/>
      <c r="B20" s="143"/>
      <c r="C20" s="143"/>
      <c r="D20" s="143"/>
      <c r="E20" s="143"/>
    </row>
    <row r="22" spans="1:5" x14ac:dyDescent="0.35">
      <c r="A22" s="3" t="s">
        <v>11</v>
      </c>
    </row>
    <row r="23" spans="1:5" ht="13.5" customHeight="1" x14ac:dyDescent="0.35">
      <c r="A23" s="150" t="str">
        <f>F2</f>
        <v xml:space="preserve">В рамках поставленных задач оцениваю свою работу, по большей части, положительно. Если выстраивать рейтинг от лучших к худшим показателям в своей работе, то на последнее место поставила бы ведение базы знаний. Вижу точки роста в написании качественного и понятного каждому текста. </v>
      </c>
      <c r="B23" s="143"/>
      <c r="C23" s="143"/>
      <c r="D23" s="143"/>
      <c r="E23" s="143"/>
    </row>
    <row r="24" spans="1:5" ht="93" customHeight="1" x14ac:dyDescent="0.35">
      <c r="A24" s="150"/>
      <c r="B24" s="143"/>
      <c r="C24" s="143"/>
      <c r="D24" s="143"/>
      <c r="E24" s="143"/>
    </row>
    <row r="25" spans="1:5" x14ac:dyDescent="0.35">
      <c r="A25" s="3" t="s">
        <v>12</v>
      </c>
    </row>
    <row r="26" spans="1:5" ht="18" customHeight="1" x14ac:dyDescent="0.35">
      <c r="A26" s="149" t="str">
        <f>G2</f>
        <v>Не могу однозначно ответить на этот вопрос, так как он будет исходить исключительного из полученного опыта, а он пока небольшой и не весь функционал на должности опробован. На данный момент наставники предлагают мне возможности проявить себя в разных задачах, а я с радостью этой возможностью пользуюсь как раз для составления мнения о будущем развитии. 
Могу лишь сказать, что сейчас максимальную положительную эмоцию получаю от помощи в адаптации новичков на проекте и решении сложных кейсов, так как с каждым новым более глубоко погружаешься в проект.</v>
      </c>
    </row>
    <row r="27" spans="1:5" ht="195" customHeight="1" x14ac:dyDescent="0.35">
      <c r="A27" s="149"/>
    </row>
    <row r="29" spans="1:5" x14ac:dyDescent="0.35">
      <c r="A29" s="44"/>
    </row>
    <row r="30" spans="1:5" x14ac:dyDescent="0.35">
      <c r="A30" s="44"/>
    </row>
  </sheetData>
  <mergeCells count="3">
    <mergeCell ref="A26:A27"/>
    <mergeCell ref="A19:A20"/>
    <mergeCell ref="A23:A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FDC2-CDCD-4A19-979D-048F27712F8E}">
  <sheetPr codeName="Sheet3"/>
  <dimension ref="A1:B10"/>
  <sheetViews>
    <sheetView workbookViewId="0">
      <selection activeCell="B2" sqref="B2"/>
    </sheetView>
  </sheetViews>
  <sheetFormatPr defaultRowHeight="15" x14ac:dyDescent="0.25"/>
  <cols>
    <col min="1" max="1" width="40" customWidth="1"/>
  </cols>
  <sheetData>
    <row r="1" spans="1:2" ht="18" x14ac:dyDescent="0.35">
      <c r="A1" s="5" t="s">
        <v>6</v>
      </c>
      <c r="B1" s="6"/>
    </row>
    <row r="2" spans="1:2" ht="18" x14ac:dyDescent="0.35">
      <c r="A2" s="1" t="s">
        <v>13</v>
      </c>
      <c r="B2" s="7">
        <f>'Самооценка сотрудника'!AB2</f>
        <v>10</v>
      </c>
    </row>
    <row r="3" spans="1:2" ht="36" x14ac:dyDescent="0.35">
      <c r="A3" s="18" t="s">
        <v>14</v>
      </c>
      <c r="B3" s="8">
        <f>'Самооценка сотрудника'!AC2</f>
        <v>10</v>
      </c>
    </row>
    <row r="4" spans="1:2" ht="36" x14ac:dyDescent="0.35">
      <c r="A4" s="17" t="s">
        <v>15</v>
      </c>
      <c r="B4" s="7">
        <f>'Самооценка сотрудника'!AD2</f>
        <v>10</v>
      </c>
    </row>
    <row r="5" spans="1:2" ht="18" x14ac:dyDescent="0.35">
      <c r="A5" s="2" t="s">
        <v>16</v>
      </c>
      <c r="B5" s="8">
        <f>'Самооценка сотрудника'!AE2</f>
        <v>10</v>
      </c>
    </row>
    <row r="6" spans="1:2" ht="18" x14ac:dyDescent="0.35">
      <c r="A6" s="1" t="s">
        <v>17</v>
      </c>
      <c r="B6" s="7">
        <f>'Самооценка сотрудника'!AF2</f>
        <v>10</v>
      </c>
    </row>
    <row r="7" spans="1:2" ht="36" x14ac:dyDescent="0.35">
      <c r="A7" s="18" t="s">
        <v>18</v>
      </c>
      <c r="B7" s="8">
        <f>'Самооценка сотрудника'!AG2</f>
        <v>10</v>
      </c>
    </row>
    <row r="8" spans="1:2" ht="18" x14ac:dyDescent="0.35">
      <c r="A8" s="1" t="s">
        <v>19</v>
      </c>
      <c r="B8" s="7">
        <f>'Самооценка сотрудника'!AH2</f>
        <v>10</v>
      </c>
    </row>
    <row r="9" spans="1:2" ht="18" x14ac:dyDescent="0.35">
      <c r="A9" s="1" t="s">
        <v>20</v>
      </c>
      <c r="B9" s="7">
        <f>'Самооценка сотрудника'!AI2</f>
        <v>9</v>
      </c>
    </row>
    <row r="10" spans="1:2" ht="18" x14ac:dyDescent="0.35">
      <c r="A10" s="2" t="s">
        <v>21</v>
      </c>
      <c r="B10" s="8">
        <f>'Самооценка сотрудника'!AJ2</f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8981-11B8-4321-96A1-DEB0891326CE}">
  <sheetPr codeName="Sheet4"/>
  <dimension ref="A1:DO94"/>
  <sheetViews>
    <sheetView tabSelected="1" workbookViewId="0">
      <pane xSplit="1" topLeftCell="B1" activePane="topRight" state="frozen"/>
      <selection pane="topRight" activeCell="B15" sqref="B15"/>
    </sheetView>
  </sheetViews>
  <sheetFormatPr defaultRowHeight="15" x14ac:dyDescent="0.25"/>
  <cols>
    <col min="1" max="1" width="21.85546875" customWidth="1"/>
    <col min="2" max="2" width="23" customWidth="1"/>
    <col min="3" max="3" width="16.42578125" customWidth="1"/>
    <col min="5" max="5" width="11.140625" customWidth="1"/>
    <col min="17" max="17" width="8.7109375" style="66"/>
    <col min="25" max="25" width="8.7109375" style="66"/>
    <col min="35" max="35" width="8.7109375" style="66"/>
    <col min="47" max="47" width="8.7109375" style="66"/>
    <col min="64" max="64" width="8.7109375" style="66"/>
    <col min="71" max="71" width="8.7109375" style="66"/>
    <col min="78" max="78" width="8.7109375" style="66"/>
    <col min="90" max="90" width="8.7109375" style="66"/>
    <col min="96" max="96" width="8.7109375" style="66"/>
    <col min="101" max="101" width="8.7109375" style="66"/>
  </cols>
  <sheetData>
    <row r="1" spans="1:119" x14ac:dyDescent="0.25">
      <c r="Z1" s="152" t="s">
        <v>219</v>
      </c>
      <c r="AA1" s="152"/>
      <c r="AB1" s="152"/>
      <c r="AC1" s="152"/>
      <c r="AD1" s="152"/>
      <c r="AE1" s="152"/>
      <c r="AF1" s="152"/>
      <c r="AG1" s="152"/>
      <c r="AH1" s="152"/>
      <c r="AI1" s="152"/>
      <c r="AJ1" s="152" t="s">
        <v>171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1" t="s">
        <v>181</v>
      </c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M1" s="151" t="s">
        <v>385</v>
      </c>
      <c r="BN1" s="151"/>
      <c r="BO1" s="151"/>
      <c r="BP1" s="151"/>
      <c r="BQ1" s="151"/>
      <c r="BR1" s="151"/>
      <c r="BS1" s="151"/>
      <c r="BT1" s="151" t="s">
        <v>386</v>
      </c>
      <c r="BU1" s="151"/>
      <c r="BV1" s="151"/>
      <c r="BW1" s="151"/>
      <c r="BX1" s="151"/>
      <c r="BY1" s="151"/>
      <c r="BZ1" s="151"/>
      <c r="CA1" s="151" t="s">
        <v>207</v>
      </c>
      <c r="CB1" s="151"/>
      <c r="CC1" s="151"/>
      <c r="CD1" s="151"/>
      <c r="CE1" s="151"/>
      <c r="CF1" s="151"/>
      <c r="CG1" s="151"/>
      <c r="CH1" s="151"/>
      <c r="CI1" s="151"/>
      <c r="CJ1" s="151"/>
      <c r="CK1" s="151"/>
      <c r="CL1" s="151"/>
      <c r="CM1" s="151" t="s">
        <v>218</v>
      </c>
      <c r="CN1" s="151"/>
      <c r="CO1" s="151"/>
      <c r="CP1" s="151"/>
      <c r="CQ1" s="151"/>
      <c r="CR1" s="151"/>
      <c r="CS1" s="151" t="s">
        <v>387</v>
      </c>
      <c r="CT1" s="151"/>
      <c r="CU1" s="151"/>
      <c r="CV1" s="151"/>
      <c r="CW1" s="151"/>
    </row>
    <row r="2" spans="1:119" x14ac:dyDescent="0.25">
      <c r="A2" s="33" t="s">
        <v>446</v>
      </c>
      <c r="B2" s="33" t="s">
        <v>46</v>
      </c>
      <c r="C2" s="33" t="s">
        <v>47</v>
      </c>
      <c r="D2" s="33" t="s">
        <v>48</v>
      </c>
      <c r="E2" s="33" t="s">
        <v>49</v>
      </c>
      <c r="F2" s="33" t="s">
        <v>50</v>
      </c>
      <c r="G2" s="54" t="s">
        <v>62</v>
      </c>
      <c r="H2" s="54" t="s">
        <v>63</v>
      </c>
      <c r="I2" s="54" t="s">
        <v>64</v>
      </c>
      <c r="J2" s="54" t="s">
        <v>65</v>
      </c>
      <c r="K2" s="54" t="s">
        <v>66</v>
      </c>
      <c r="L2" s="54" t="s">
        <v>67</v>
      </c>
      <c r="M2" s="54" t="s">
        <v>68</v>
      </c>
      <c r="N2" s="54" t="s">
        <v>69</v>
      </c>
      <c r="O2" s="54" t="s">
        <v>70</v>
      </c>
      <c r="P2" s="54" t="s">
        <v>71</v>
      </c>
      <c r="Q2" s="67" t="s">
        <v>103</v>
      </c>
      <c r="R2" s="55" t="s">
        <v>72</v>
      </c>
      <c r="S2" s="55" t="s">
        <v>73</v>
      </c>
      <c r="T2" s="55" t="s">
        <v>74</v>
      </c>
      <c r="U2" s="55" t="s">
        <v>75</v>
      </c>
      <c r="V2" s="55" t="s">
        <v>76</v>
      </c>
      <c r="W2" s="55" t="s">
        <v>77</v>
      </c>
      <c r="X2" s="55" t="s">
        <v>78</v>
      </c>
      <c r="Y2" s="67" t="s">
        <v>104</v>
      </c>
      <c r="Z2" s="56" t="s">
        <v>105</v>
      </c>
      <c r="AA2" s="56" t="s">
        <v>106</v>
      </c>
      <c r="AB2" s="56" t="s">
        <v>107</v>
      </c>
      <c r="AC2" s="56" t="s">
        <v>108</v>
      </c>
      <c r="AD2" s="56" t="s">
        <v>109</v>
      </c>
      <c r="AE2" s="56" t="s">
        <v>110</v>
      </c>
      <c r="AF2" s="56" t="s">
        <v>111</v>
      </c>
      <c r="AG2" s="56" t="s">
        <v>112</v>
      </c>
      <c r="AH2" s="56" t="s">
        <v>113</v>
      </c>
      <c r="AI2" s="67" t="s">
        <v>114</v>
      </c>
      <c r="AJ2" s="57" t="s">
        <v>115</v>
      </c>
      <c r="AK2" s="57" t="s">
        <v>116</v>
      </c>
      <c r="AL2" s="57" t="s">
        <v>117</v>
      </c>
      <c r="AM2" s="57" t="s">
        <v>118</v>
      </c>
      <c r="AN2" s="57" t="s">
        <v>119</v>
      </c>
      <c r="AO2" s="57" t="s">
        <v>120</v>
      </c>
      <c r="AP2" s="57" t="s">
        <v>121</v>
      </c>
      <c r="AQ2" s="57" t="s">
        <v>122</v>
      </c>
      <c r="AR2" s="57" t="s">
        <v>123</v>
      </c>
      <c r="AS2" s="57" t="s">
        <v>230</v>
      </c>
      <c r="AT2" s="57" t="s">
        <v>254</v>
      </c>
      <c r="AU2" s="67" t="s">
        <v>124</v>
      </c>
      <c r="AV2" s="58" t="s">
        <v>125</v>
      </c>
      <c r="AW2" s="58" t="s">
        <v>54</v>
      </c>
      <c r="AX2" s="58" t="s">
        <v>55</v>
      </c>
      <c r="AY2" s="58" t="s">
        <v>56</v>
      </c>
      <c r="AZ2" s="58" t="s">
        <v>126</v>
      </c>
      <c r="BA2" s="58" t="s">
        <v>127</v>
      </c>
      <c r="BB2" s="58" t="s">
        <v>57</v>
      </c>
      <c r="BC2" s="58" t="s">
        <v>58</v>
      </c>
      <c r="BD2" s="58" t="s">
        <v>59</v>
      </c>
      <c r="BE2" s="58" t="s">
        <v>60</v>
      </c>
      <c r="BF2" s="58" t="s">
        <v>128</v>
      </c>
      <c r="BG2" s="58" t="s">
        <v>129</v>
      </c>
      <c r="BH2" s="58" t="s">
        <v>130</v>
      </c>
      <c r="BI2" s="58" t="s">
        <v>236</v>
      </c>
      <c r="BJ2" s="58" t="s">
        <v>242</v>
      </c>
      <c r="BK2" s="58" t="s">
        <v>243</v>
      </c>
      <c r="BL2" s="67" t="s">
        <v>131</v>
      </c>
      <c r="BM2" s="59" t="s">
        <v>132</v>
      </c>
      <c r="BN2" s="59" t="s">
        <v>133</v>
      </c>
      <c r="BO2" s="59" t="s">
        <v>134</v>
      </c>
      <c r="BP2" s="59" t="s">
        <v>135</v>
      </c>
      <c r="BQ2" s="59" t="s">
        <v>136</v>
      </c>
      <c r="BR2" s="59" t="s">
        <v>137</v>
      </c>
      <c r="BS2" s="67" t="s">
        <v>138</v>
      </c>
      <c r="BT2" s="60" t="s">
        <v>139</v>
      </c>
      <c r="BU2" s="60" t="s">
        <v>140</v>
      </c>
      <c r="BV2" s="60" t="s">
        <v>141</v>
      </c>
      <c r="BW2" s="60" t="s">
        <v>142</v>
      </c>
      <c r="BX2" s="60" t="s">
        <v>237</v>
      </c>
      <c r="BY2" s="60" t="s">
        <v>238</v>
      </c>
      <c r="BZ2" s="67" t="s">
        <v>143</v>
      </c>
      <c r="CA2" s="61" t="s">
        <v>144</v>
      </c>
      <c r="CB2" s="61" t="s">
        <v>145</v>
      </c>
      <c r="CC2" s="61" t="s">
        <v>146</v>
      </c>
      <c r="CD2" s="61" t="s">
        <v>147</v>
      </c>
      <c r="CE2" s="61" t="s">
        <v>148</v>
      </c>
      <c r="CF2" s="61" t="s">
        <v>149</v>
      </c>
      <c r="CG2" s="61" t="s">
        <v>150</v>
      </c>
      <c r="CH2" s="61" t="s">
        <v>151</v>
      </c>
      <c r="CI2" s="61" t="s">
        <v>152</v>
      </c>
      <c r="CJ2" s="61" t="s">
        <v>153</v>
      </c>
      <c r="CK2" s="61" t="s">
        <v>231</v>
      </c>
      <c r="CL2" s="67" t="s">
        <v>154</v>
      </c>
      <c r="CM2" s="62" t="s">
        <v>234</v>
      </c>
      <c r="CN2" s="62" t="s">
        <v>155</v>
      </c>
      <c r="CO2" s="62" t="s">
        <v>156</v>
      </c>
      <c r="CP2" s="62" t="s">
        <v>157</v>
      </c>
      <c r="CQ2" s="62" t="s">
        <v>235</v>
      </c>
      <c r="CR2" s="67" t="s">
        <v>158</v>
      </c>
      <c r="CS2" s="65" t="s">
        <v>247</v>
      </c>
      <c r="CT2" s="65" t="s">
        <v>248</v>
      </c>
      <c r="CU2" s="65" t="s">
        <v>249</v>
      </c>
      <c r="CV2" s="65" t="s">
        <v>241</v>
      </c>
      <c r="CW2" s="67" t="s">
        <v>252</v>
      </c>
      <c r="CX2" s="63" t="s">
        <v>159</v>
      </c>
      <c r="CY2" s="64" t="s">
        <v>51</v>
      </c>
      <c r="CZ2" s="34" t="s">
        <v>61</v>
      </c>
    </row>
    <row r="3" spans="1:119" x14ac:dyDescent="0.25">
      <c r="A3" s="87" t="s">
        <v>411</v>
      </c>
      <c r="B3" s="87" t="s">
        <v>394</v>
      </c>
      <c r="C3" s="87" t="s">
        <v>365</v>
      </c>
      <c r="D3" s="88">
        <v>10</v>
      </c>
      <c r="E3" s="87"/>
      <c r="F3" s="87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 t="s">
        <v>422</v>
      </c>
      <c r="CY3" s="87" t="s">
        <v>423</v>
      </c>
      <c r="CZ3" s="145" t="s">
        <v>366</v>
      </c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</row>
    <row r="4" spans="1:119" x14ac:dyDescent="0.25">
      <c r="A4" s="89" t="s">
        <v>412</v>
      </c>
      <c r="B4" s="89" t="s">
        <v>394</v>
      </c>
      <c r="C4" s="89" t="s">
        <v>388</v>
      </c>
      <c r="D4" s="90">
        <v>10</v>
      </c>
      <c r="E4" s="89"/>
      <c r="F4" s="89" t="s">
        <v>421</v>
      </c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89" t="s">
        <v>79</v>
      </c>
      <c r="AA4" s="89" t="s">
        <v>79</v>
      </c>
      <c r="AB4" s="89" t="s">
        <v>79</v>
      </c>
      <c r="AC4" s="89" t="s">
        <v>79</v>
      </c>
      <c r="AD4" s="89" t="s">
        <v>79</v>
      </c>
      <c r="AE4" s="89" t="s">
        <v>79</v>
      </c>
      <c r="AF4" s="89" t="s">
        <v>79</v>
      </c>
      <c r="AG4" s="89" t="s">
        <v>79</v>
      </c>
      <c r="AH4" s="89" t="s">
        <v>79</v>
      </c>
      <c r="AI4" s="89" t="s">
        <v>424</v>
      </c>
      <c r="AJ4" s="89" t="s">
        <v>79</v>
      </c>
      <c r="AK4" s="89" t="s">
        <v>79</v>
      </c>
      <c r="AL4" s="89" t="s">
        <v>79</v>
      </c>
      <c r="AM4" s="89" t="s">
        <v>79</v>
      </c>
      <c r="AN4" s="89" t="s">
        <v>79</v>
      </c>
      <c r="AO4" s="89" t="s">
        <v>79</v>
      </c>
      <c r="AP4" s="89" t="s">
        <v>79</v>
      </c>
      <c r="AQ4" s="89" t="s">
        <v>79</v>
      </c>
      <c r="AR4" s="89" t="s">
        <v>80</v>
      </c>
      <c r="AS4" s="89" t="s">
        <v>80</v>
      </c>
      <c r="AT4" s="89" t="s">
        <v>80</v>
      </c>
      <c r="AU4" s="89"/>
      <c r="AV4" s="89" t="s">
        <v>79</v>
      </c>
      <c r="AW4" s="89" t="s">
        <v>79</v>
      </c>
      <c r="AX4" s="89" t="s">
        <v>79</v>
      </c>
      <c r="AY4" s="89" t="s">
        <v>79</v>
      </c>
      <c r="AZ4" s="89" t="s">
        <v>79</v>
      </c>
      <c r="BA4" s="89" t="s">
        <v>79</v>
      </c>
      <c r="BB4" s="89" t="s">
        <v>79</v>
      </c>
      <c r="BC4" s="89" t="s">
        <v>79</v>
      </c>
      <c r="BD4" s="89" t="s">
        <v>79</v>
      </c>
      <c r="BE4" s="89" t="s">
        <v>80</v>
      </c>
      <c r="BF4" s="89" t="s">
        <v>80</v>
      </c>
      <c r="BG4" s="89" t="s">
        <v>80</v>
      </c>
      <c r="BH4" s="89" t="s">
        <v>79</v>
      </c>
      <c r="BI4" s="89" t="s">
        <v>80</v>
      </c>
      <c r="BJ4" s="89" t="s">
        <v>80</v>
      </c>
      <c r="BK4" s="89" t="s">
        <v>80</v>
      </c>
      <c r="BL4" s="89"/>
      <c r="BM4" s="89" t="s">
        <v>79</v>
      </c>
      <c r="BN4" s="89" t="s">
        <v>79</v>
      </c>
      <c r="BO4" s="89" t="s">
        <v>80</v>
      </c>
      <c r="BP4" s="89" t="s">
        <v>79</v>
      </c>
      <c r="BQ4" s="89" t="s">
        <v>79</v>
      </c>
      <c r="BR4" s="89" t="s">
        <v>79</v>
      </c>
      <c r="BS4" s="89"/>
      <c r="BT4" s="89" t="s">
        <v>79</v>
      </c>
      <c r="BU4" s="89" t="s">
        <v>80</v>
      </c>
      <c r="BV4" s="89" t="s">
        <v>80</v>
      </c>
      <c r="BW4" s="89" t="s">
        <v>80</v>
      </c>
      <c r="BX4" s="89" t="s">
        <v>80</v>
      </c>
      <c r="BY4" s="89" t="s">
        <v>80</v>
      </c>
      <c r="BZ4" s="89"/>
      <c r="CA4" s="89" t="s">
        <v>80</v>
      </c>
      <c r="CB4" s="89" t="s">
        <v>79</v>
      </c>
      <c r="CC4" s="89" t="s">
        <v>79</v>
      </c>
      <c r="CD4" s="89" t="s">
        <v>79</v>
      </c>
      <c r="CE4" s="89" t="s">
        <v>79</v>
      </c>
      <c r="CF4" s="89" t="s">
        <v>79</v>
      </c>
      <c r="CG4" s="89" t="s">
        <v>79</v>
      </c>
      <c r="CH4" s="89" t="s">
        <v>79</v>
      </c>
      <c r="CI4" s="89" t="s">
        <v>79</v>
      </c>
      <c r="CJ4" s="89" t="s">
        <v>79</v>
      </c>
      <c r="CK4" s="89" t="s">
        <v>79</v>
      </c>
      <c r="CL4" s="89"/>
      <c r="CM4" s="89" t="s">
        <v>80</v>
      </c>
      <c r="CN4" s="89" t="s">
        <v>80</v>
      </c>
      <c r="CO4" s="89" t="s">
        <v>79</v>
      </c>
      <c r="CP4" s="89" t="s">
        <v>79</v>
      </c>
      <c r="CQ4" s="89" t="s">
        <v>79</v>
      </c>
      <c r="CR4" s="89"/>
      <c r="CS4" s="89" t="s">
        <v>80</v>
      </c>
      <c r="CT4" s="89" t="s">
        <v>80</v>
      </c>
      <c r="CU4" s="89" t="s">
        <v>80</v>
      </c>
      <c r="CV4" s="89" t="s">
        <v>80</v>
      </c>
      <c r="CW4" s="89"/>
      <c r="CX4" s="89" t="s">
        <v>425</v>
      </c>
      <c r="CY4" s="89" t="s">
        <v>426</v>
      </c>
      <c r="CZ4" s="146" t="s">
        <v>366</v>
      </c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</row>
    <row r="5" spans="1:119" x14ac:dyDescent="0.25">
      <c r="A5" s="87" t="s">
        <v>413</v>
      </c>
      <c r="B5" s="87" t="s">
        <v>414</v>
      </c>
      <c r="C5" s="87" t="s">
        <v>365</v>
      </c>
      <c r="D5" s="88">
        <v>10</v>
      </c>
      <c r="E5" s="87"/>
      <c r="F5" s="87" t="s">
        <v>421</v>
      </c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87" t="s">
        <v>79</v>
      </c>
      <c r="AA5" s="87" t="s">
        <v>79</v>
      </c>
      <c r="AB5" s="87" t="s">
        <v>79</v>
      </c>
      <c r="AC5" s="87" t="s">
        <v>79</v>
      </c>
      <c r="AD5" s="87" t="s">
        <v>79</v>
      </c>
      <c r="AE5" s="87" t="s">
        <v>79</v>
      </c>
      <c r="AF5" s="87" t="s">
        <v>79</v>
      </c>
      <c r="AG5" s="87" t="s">
        <v>79</v>
      </c>
      <c r="AH5" s="87" t="s">
        <v>79</v>
      </c>
      <c r="AI5" s="87"/>
      <c r="AJ5" s="87" t="s">
        <v>79</v>
      </c>
      <c r="AK5" s="87" t="s">
        <v>79</v>
      </c>
      <c r="AL5" s="87" t="s">
        <v>79</v>
      </c>
      <c r="AM5" s="87" t="s">
        <v>79</v>
      </c>
      <c r="AN5" s="87" t="s">
        <v>79</v>
      </c>
      <c r="AO5" s="87" t="s">
        <v>79</v>
      </c>
      <c r="AP5" s="87" t="s">
        <v>79</v>
      </c>
      <c r="AQ5" s="87" t="s">
        <v>79</v>
      </c>
      <c r="AR5" s="87" t="s">
        <v>79</v>
      </c>
      <c r="AS5" s="87" t="s">
        <v>79</v>
      </c>
      <c r="AT5" s="87" t="s">
        <v>79</v>
      </c>
      <c r="AU5" s="87"/>
      <c r="AV5" s="87" t="s">
        <v>79</v>
      </c>
      <c r="AW5" s="87" t="s">
        <v>79</v>
      </c>
      <c r="AX5" s="87" t="s">
        <v>79</v>
      </c>
      <c r="AY5" s="87" t="s">
        <v>79</v>
      </c>
      <c r="AZ5" s="87" t="s">
        <v>79</v>
      </c>
      <c r="BA5" s="87" t="s">
        <v>79</v>
      </c>
      <c r="BB5" s="87" t="s">
        <v>79</v>
      </c>
      <c r="BC5" s="87" t="s">
        <v>79</v>
      </c>
      <c r="BD5" s="87" t="s">
        <v>79</v>
      </c>
      <c r="BE5" s="87" t="s">
        <v>79</v>
      </c>
      <c r="BF5" s="87" t="s">
        <v>79</v>
      </c>
      <c r="BG5" s="87" t="s">
        <v>79</v>
      </c>
      <c r="BH5" s="87" t="s">
        <v>79</v>
      </c>
      <c r="BI5" s="87" t="s">
        <v>79</v>
      </c>
      <c r="BJ5" s="87" t="s">
        <v>79</v>
      </c>
      <c r="BK5" s="87" t="s">
        <v>79</v>
      </c>
      <c r="BL5" s="87"/>
      <c r="BM5" s="87" t="s">
        <v>79</v>
      </c>
      <c r="BN5" s="87" t="s">
        <v>79</v>
      </c>
      <c r="BO5" s="87" t="s">
        <v>79</v>
      </c>
      <c r="BP5" s="87" t="s">
        <v>79</v>
      </c>
      <c r="BQ5" s="87" t="s">
        <v>79</v>
      </c>
      <c r="BR5" s="87" t="s">
        <v>79</v>
      </c>
      <c r="BS5" s="87"/>
      <c r="BT5" s="87" t="s">
        <v>79</v>
      </c>
      <c r="BU5" s="87" t="s">
        <v>79</v>
      </c>
      <c r="BV5" s="87" t="s">
        <v>79</v>
      </c>
      <c r="BW5" s="87" t="s">
        <v>80</v>
      </c>
      <c r="BX5" s="87" t="s">
        <v>79</v>
      </c>
      <c r="BY5" s="87" t="s">
        <v>82</v>
      </c>
      <c r="BZ5" s="87"/>
      <c r="CA5" s="87" t="s">
        <v>79</v>
      </c>
      <c r="CB5" s="87" t="s">
        <v>79</v>
      </c>
      <c r="CC5" s="87" t="s">
        <v>79</v>
      </c>
      <c r="CD5" s="87" t="s">
        <v>79</v>
      </c>
      <c r="CE5" s="87" t="s">
        <v>79</v>
      </c>
      <c r="CF5" s="87" t="s">
        <v>79</v>
      </c>
      <c r="CG5" s="87" t="s">
        <v>79</v>
      </c>
      <c r="CH5" s="87" t="s">
        <v>79</v>
      </c>
      <c r="CI5" s="87" t="s">
        <v>79</v>
      </c>
      <c r="CJ5" s="87" t="s">
        <v>79</v>
      </c>
      <c r="CK5" s="87" t="s">
        <v>79</v>
      </c>
      <c r="CL5" s="87"/>
      <c r="CM5" s="87" t="s">
        <v>79</v>
      </c>
      <c r="CN5" s="87" t="s">
        <v>79</v>
      </c>
      <c r="CO5" s="87" t="s">
        <v>79</v>
      </c>
      <c r="CP5" s="87" t="s">
        <v>79</v>
      </c>
      <c r="CQ5" s="87" t="s">
        <v>79</v>
      </c>
      <c r="CR5" s="87"/>
      <c r="CS5" s="87" t="s">
        <v>80</v>
      </c>
      <c r="CT5" s="87" t="s">
        <v>80</v>
      </c>
      <c r="CU5" s="87" t="s">
        <v>80</v>
      </c>
      <c r="CV5" s="87" t="s">
        <v>80</v>
      </c>
      <c r="CW5" s="87"/>
      <c r="CX5" s="87" t="s">
        <v>427</v>
      </c>
      <c r="CY5" s="87" t="s">
        <v>428</v>
      </c>
      <c r="CZ5" s="145" t="s">
        <v>366</v>
      </c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</row>
    <row r="6" spans="1:119" x14ac:dyDescent="0.25">
      <c r="A6" s="89" t="s">
        <v>415</v>
      </c>
      <c r="B6" s="89" t="s">
        <v>394</v>
      </c>
      <c r="C6" s="89" t="s">
        <v>365</v>
      </c>
      <c r="D6" s="90">
        <v>8</v>
      </c>
      <c r="E6" s="89"/>
      <c r="F6" s="89" t="s">
        <v>421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89" t="s">
        <v>79</v>
      </c>
      <c r="AA6" s="89" t="s">
        <v>79</v>
      </c>
      <c r="AB6" s="89" t="s">
        <v>79</v>
      </c>
      <c r="AC6" s="89" t="s">
        <v>79</v>
      </c>
      <c r="AD6" s="89" t="s">
        <v>79</v>
      </c>
      <c r="AE6" s="89" t="s">
        <v>79</v>
      </c>
      <c r="AF6" s="89" t="s">
        <v>79</v>
      </c>
      <c r="AG6" s="89" t="s">
        <v>79</v>
      </c>
      <c r="AH6" s="89" t="s">
        <v>79</v>
      </c>
      <c r="AI6" s="89"/>
      <c r="AJ6" s="89" t="s">
        <v>80</v>
      </c>
      <c r="AK6" s="89" t="s">
        <v>79</v>
      </c>
      <c r="AL6" s="89" t="s">
        <v>80</v>
      </c>
      <c r="AM6" s="89" t="s">
        <v>79</v>
      </c>
      <c r="AN6" s="89" t="s">
        <v>79</v>
      </c>
      <c r="AO6" s="89" t="s">
        <v>80</v>
      </c>
      <c r="AP6" s="89" t="s">
        <v>79</v>
      </c>
      <c r="AQ6" s="89" t="s">
        <v>80</v>
      </c>
      <c r="AR6" s="89" t="s">
        <v>80</v>
      </c>
      <c r="AS6" s="89" t="s">
        <v>80</v>
      </c>
      <c r="AT6" s="89" t="s">
        <v>79</v>
      </c>
      <c r="AU6" s="89"/>
      <c r="AV6" s="89" t="s">
        <v>79</v>
      </c>
      <c r="AW6" s="89" t="s">
        <v>79</v>
      </c>
      <c r="AX6" s="89" t="s">
        <v>79</v>
      </c>
      <c r="AY6" s="89" t="s">
        <v>79</v>
      </c>
      <c r="AZ6" s="89" t="s">
        <v>79</v>
      </c>
      <c r="BA6" s="89" t="s">
        <v>79</v>
      </c>
      <c r="BB6" s="89" t="s">
        <v>79</v>
      </c>
      <c r="BC6" s="89" t="s">
        <v>80</v>
      </c>
      <c r="BD6" s="89" t="s">
        <v>79</v>
      </c>
      <c r="BE6" s="89" t="s">
        <v>80</v>
      </c>
      <c r="BF6" s="89" t="s">
        <v>80</v>
      </c>
      <c r="BG6" s="89" t="s">
        <v>79</v>
      </c>
      <c r="BH6" s="89" t="s">
        <v>79</v>
      </c>
      <c r="BI6" s="89" t="s">
        <v>79</v>
      </c>
      <c r="BJ6" s="89" t="s">
        <v>79</v>
      </c>
      <c r="BK6" s="89" t="s">
        <v>79</v>
      </c>
      <c r="BL6" s="89"/>
      <c r="BM6" s="89" t="s">
        <v>79</v>
      </c>
      <c r="BN6" s="89" t="s">
        <v>79</v>
      </c>
      <c r="BO6" s="89" t="s">
        <v>80</v>
      </c>
      <c r="BP6" s="89" t="s">
        <v>80</v>
      </c>
      <c r="BQ6" s="89" t="s">
        <v>79</v>
      </c>
      <c r="BR6" s="89" t="s">
        <v>80</v>
      </c>
      <c r="BS6" s="89"/>
      <c r="BT6" s="89" t="s">
        <v>79</v>
      </c>
      <c r="BU6" s="89" t="s">
        <v>80</v>
      </c>
      <c r="BV6" s="89" t="s">
        <v>80</v>
      </c>
      <c r="BW6" s="89" t="s">
        <v>79</v>
      </c>
      <c r="BX6" s="89" t="s">
        <v>80</v>
      </c>
      <c r="BY6" s="89" t="s">
        <v>80</v>
      </c>
      <c r="BZ6" s="89"/>
      <c r="CA6" s="89" t="s">
        <v>79</v>
      </c>
      <c r="CB6" s="89" t="s">
        <v>79</v>
      </c>
      <c r="CC6" s="89" t="s">
        <v>79</v>
      </c>
      <c r="CD6" s="89" t="s">
        <v>80</v>
      </c>
      <c r="CE6" s="89" t="s">
        <v>79</v>
      </c>
      <c r="CF6" s="89" t="s">
        <v>80</v>
      </c>
      <c r="CG6" s="89" t="s">
        <v>80</v>
      </c>
      <c r="CH6" s="89" t="s">
        <v>79</v>
      </c>
      <c r="CI6" s="89" t="s">
        <v>80</v>
      </c>
      <c r="CJ6" s="89" t="s">
        <v>80</v>
      </c>
      <c r="CK6" s="89" t="s">
        <v>79</v>
      </c>
      <c r="CL6" s="89"/>
      <c r="CM6" s="89" t="s">
        <v>80</v>
      </c>
      <c r="CN6" s="89" t="s">
        <v>80</v>
      </c>
      <c r="CO6" s="89" t="s">
        <v>80</v>
      </c>
      <c r="CP6" s="89" t="s">
        <v>80</v>
      </c>
      <c r="CQ6" s="89" t="s">
        <v>80</v>
      </c>
      <c r="CR6" s="89"/>
      <c r="CS6" s="89" t="s">
        <v>80</v>
      </c>
      <c r="CT6" s="89" t="s">
        <v>80</v>
      </c>
      <c r="CU6" s="89" t="s">
        <v>80</v>
      </c>
      <c r="CV6" s="89" t="s">
        <v>80</v>
      </c>
      <c r="CW6" s="89"/>
      <c r="CX6" s="89" t="s">
        <v>429</v>
      </c>
      <c r="CY6" s="89" t="s">
        <v>430</v>
      </c>
      <c r="CZ6" s="146" t="s">
        <v>366</v>
      </c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</row>
    <row r="7" spans="1:119" ht="18" customHeight="1" x14ac:dyDescent="0.25">
      <c r="A7" s="87" t="s">
        <v>416</v>
      </c>
      <c r="B7" s="87" t="s">
        <v>417</v>
      </c>
      <c r="C7" s="87" t="s">
        <v>365</v>
      </c>
      <c r="D7" s="88">
        <v>10</v>
      </c>
      <c r="E7" s="87" t="s">
        <v>418</v>
      </c>
      <c r="F7" s="87" t="s">
        <v>421</v>
      </c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87" t="s">
        <v>79</v>
      </c>
      <c r="AA7" s="87" t="s">
        <v>79</v>
      </c>
      <c r="AB7" s="87" t="s">
        <v>79</v>
      </c>
      <c r="AC7" s="87" t="s">
        <v>79</v>
      </c>
      <c r="AD7" s="87" t="s">
        <v>79</v>
      </c>
      <c r="AE7" s="87" t="s">
        <v>79</v>
      </c>
      <c r="AF7" s="87" t="s">
        <v>79</v>
      </c>
      <c r="AG7" s="87" t="s">
        <v>79</v>
      </c>
      <c r="AH7" s="87" t="s">
        <v>80</v>
      </c>
      <c r="AI7" s="87" t="s">
        <v>431</v>
      </c>
      <c r="AJ7" s="87" t="s">
        <v>79</v>
      </c>
      <c r="AK7" s="87" t="s">
        <v>80</v>
      </c>
      <c r="AL7" s="87" t="s">
        <v>80</v>
      </c>
      <c r="AM7" s="87" t="s">
        <v>79</v>
      </c>
      <c r="AN7" s="87" t="s">
        <v>79</v>
      </c>
      <c r="AO7" s="87" t="s">
        <v>80</v>
      </c>
      <c r="AP7" s="87" t="s">
        <v>79</v>
      </c>
      <c r="AQ7" s="87" t="s">
        <v>80</v>
      </c>
      <c r="AR7" s="87" t="s">
        <v>80</v>
      </c>
      <c r="AS7" s="87" t="s">
        <v>79</v>
      </c>
      <c r="AT7" s="87" t="s">
        <v>80</v>
      </c>
      <c r="AU7" s="87"/>
      <c r="AV7" s="87" t="s">
        <v>79</v>
      </c>
      <c r="AW7" s="87" t="s">
        <v>79</v>
      </c>
      <c r="AX7" s="87" t="s">
        <v>79</v>
      </c>
      <c r="AY7" s="87" t="s">
        <v>79</v>
      </c>
      <c r="AZ7" s="87" t="s">
        <v>79</v>
      </c>
      <c r="BA7" s="87" t="s">
        <v>79</v>
      </c>
      <c r="BB7" s="87" t="s">
        <v>79</v>
      </c>
      <c r="BC7" s="87" t="s">
        <v>79</v>
      </c>
      <c r="BD7" s="87" t="s">
        <v>79</v>
      </c>
      <c r="BE7" s="87" t="s">
        <v>79</v>
      </c>
      <c r="BF7" s="87" t="s">
        <v>79</v>
      </c>
      <c r="BG7" s="87" t="s">
        <v>79</v>
      </c>
      <c r="BH7" s="87" t="s">
        <v>79</v>
      </c>
      <c r="BI7" s="87" t="s">
        <v>79</v>
      </c>
      <c r="BJ7" s="87" t="s">
        <v>79</v>
      </c>
      <c r="BK7" s="87" t="s">
        <v>79</v>
      </c>
      <c r="BL7" s="87"/>
      <c r="BM7" s="87" t="s">
        <v>79</v>
      </c>
      <c r="BN7" s="87" t="s">
        <v>79</v>
      </c>
      <c r="BO7" s="87" t="s">
        <v>80</v>
      </c>
      <c r="BP7" s="87" t="s">
        <v>79</v>
      </c>
      <c r="BQ7" s="87" t="s">
        <v>80</v>
      </c>
      <c r="BR7" s="87" t="s">
        <v>79</v>
      </c>
      <c r="BS7" s="87"/>
      <c r="BT7" s="87" t="s">
        <v>79</v>
      </c>
      <c r="BU7" s="87" t="s">
        <v>80</v>
      </c>
      <c r="BV7" s="87" t="s">
        <v>80</v>
      </c>
      <c r="BW7" s="87" t="s">
        <v>79</v>
      </c>
      <c r="BX7" s="87" t="s">
        <v>80</v>
      </c>
      <c r="BY7" s="87" t="s">
        <v>80</v>
      </c>
      <c r="BZ7" s="87"/>
      <c r="CA7" s="87" t="s">
        <v>80</v>
      </c>
      <c r="CB7" s="87" t="s">
        <v>79</v>
      </c>
      <c r="CC7" s="87" t="s">
        <v>80</v>
      </c>
      <c r="CD7" s="87" t="s">
        <v>79</v>
      </c>
      <c r="CE7" s="87" t="s">
        <v>79</v>
      </c>
      <c r="CF7" s="87" t="s">
        <v>79</v>
      </c>
      <c r="CG7" s="87" t="s">
        <v>79</v>
      </c>
      <c r="CH7" s="87" t="s">
        <v>80</v>
      </c>
      <c r="CI7" s="87" t="s">
        <v>80</v>
      </c>
      <c r="CJ7" s="87" t="s">
        <v>80</v>
      </c>
      <c r="CK7" s="87" t="s">
        <v>80</v>
      </c>
      <c r="CL7" s="87"/>
      <c r="CM7" s="87" t="s">
        <v>80</v>
      </c>
      <c r="CN7" s="87" t="s">
        <v>80</v>
      </c>
      <c r="CO7" s="87" t="s">
        <v>80</v>
      </c>
      <c r="CP7" s="87" t="s">
        <v>80</v>
      </c>
      <c r="CQ7" s="87" t="s">
        <v>79</v>
      </c>
      <c r="CR7" s="87"/>
      <c r="CS7" s="87" t="s">
        <v>80</v>
      </c>
      <c r="CT7" s="87" t="s">
        <v>80</v>
      </c>
      <c r="CU7" s="87" t="s">
        <v>79</v>
      </c>
      <c r="CV7" s="87" t="s">
        <v>79</v>
      </c>
      <c r="CW7" s="87"/>
      <c r="CX7" s="87" t="s">
        <v>432</v>
      </c>
      <c r="CY7" s="87" t="s">
        <v>433</v>
      </c>
      <c r="CZ7" s="145" t="s">
        <v>366</v>
      </c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</row>
    <row r="8" spans="1:119" x14ac:dyDescent="0.25">
      <c r="A8" s="89" t="s">
        <v>419</v>
      </c>
      <c r="B8" s="89" t="s">
        <v>417</v>
      </c>
      <c r="C8" s="89" t="s">
        <v>365</v>
      </c>
      <c r="D8" s="90">
        <v>10</v>
      </c>
      <c r="E8" s="89"/>
      <c r="F8" s="89" t="s">
        <v>421</v>
      </c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89" t="s">
        <v>79</v>
      </c>
      <c r="AA8" s="89" t="s">
        <v>79</v>
      </c>
      <c r="AB8" s="89" t="s">
        <v>79</v>
      </c>
      <c r="AC8" s="89" t="s">
        <v>79</v>
      </c>
      <c r="AD8" s="89" t="s">
        <v>79</v>
      </c>
      <c r="AE8" s="89" t="s">
        <v>79</v>
      </c>
      <c r="AF8" s="89" t="s">
        <v>79</v>
      </c>
      <c r="AG8" s="89" t="s">
        <v>79</v>
      </c>
      <c r="AH8" s="89" t="s">
        <v>79</v>
      </c>
      <c r="AI8" s="89"/>
      <c r="AJ8" s="89" t="s">
        <v>79</v>
      </c>
      <c r="AK8" s="89" t="s">
        <v>79</v>
      </c>
      <c r="AL8" s="89" t="s">
        <v>79</v>
      </c>
      <c r="AM8" s="89" t="s">
        <v>79</v>
      </c>
      <c r="AN8" s="89" t="s">
        <v>79</v>
      </c>
      <c r="AO8" s="89" t="s">
        <v>79</v>
      </c>
      <c r="AP8" s="89" t="s">
        <v>79</v>
      </c>
      <c r="AQ8" s="89" t="s">
        <v>80</v>
      </c>
      <c r="AR8" s="89" t="s">
        <v>79</v>
      </c>
      <c r="AS8" s="89" t="s">
        <v>79</v>
      </c>
      <c r="AT8" s="89" t="s">
        <v>79</v>
      </c>
      <c r="AU8" s="89"/>
      <c r="AV8" s="89" t="s">
        <v>79</v>
      </c>
      <c r="AW8" s="89" t="s">
        <v>79</v>
      </c>
      <c r="AX8" s="89" t="s">
        <v>79</v>
      </c>
      <c r="AY8" s="89" t="s">
        <v>79</v>
      </c>
      <c r="AZ8" s="89" t="s">
        <v>79</v>
      </c>
      <c r="BA8" s="89" t="s">
        <v>79</v>
      </c>
      <c r="BB8" s="89" t="s">
        <v>79</v>
      </c>
      <c r="BC8" s="89" t="s">
        <v>79</v>
      </c>
      <c r="BD8" s="89" t="s">
        <v>79</v>
      </c>
      <c r="BE8" s="89" t="s">
        <v>79</v>
      </c>
      <c r="BF8" s="89" t="s">
        <v>79</v>
      </c>
      <c r="BG8" s="89" t="s">
        <v>79</v>
      </c>
      <c r="BH8" s="89" t="s">
        <v>79</v>
      </c>
      <c r="BI8" s="89" t="s">
        <v>79</v>
      </c>
      <c r="BJ8" s="89" t="s">
        <v>79</v>
      </c>
      <c r="BK8" s="89" t="s">
        <v>79</v>
      </c>
      <c r="BL8" s="89"/>
      <c r="BM8" s="89" t="s">
        <v>79</v>
      </c>
      <c r="BN8" s="89" t="s">
        <v>79</v>
      </c>
      <c r="BO8" s="89" t="s">
        <v>79</v>
      </c>
      <c r="BP8" s="89" t="s">
        <v>79</v>
      </c>
      <c r="BQ8" s="89" t="s">
        <v>79</v>
      </c>
      <c r="BR8" s="89" t="s">
        <v>79</v>
      </c>
      <c r="BS8" s="89"/>
      <c r="BT8" s="89" t="s">
        <v>79</v>
      </c>
      <c r="BU8" s="89" t="s">
        <v>79</v>
      </c>
      <c r="BV8" s="89" t="s">
        <v>79</v>
      </c>
      <c r="BW8" s="89" t="s">
        <v>79</v>
      </c>
      <c r="BX8" s="89" t="s">
        <v>79</v>
      </c>
      <c r="BY8" s="89" t="s">
        <v>79</v>
      </c>
      <c r="BZ8" s="89"/>
      <c r="CA8" s="89" t="s">
        <v>79</v>
      </c>
      <c r="CB8" s="89" t="s">
        <v>79</v>
      </c>
      <c r="CC8" s="89" t="s">
        <v>79</v>
      </c>
      <c r="CD8" s="89" t="s">
        <v>79</v>
      </c>
      <c r="CE8" s="89" t="s">
        <v>79</v>
      </c>
      <c r="CF8" s="89" t="s">
        <v>79</v>
      </c>
      <c r="CG8" s="89" t="s">
        <v>79</v>
      </c>
      <c r="CH8" s="89" t="s">
        <v>79</v>
      </c>
      <c r="CI8" s="89" t="s">
        <v>79</v>
      </c>
      <c r="CJ8" s="89" t="s">
        <v>79</v>
      </c>
      <c r="CK8" s="89" t="s">
        <v>79</v>
      </c>
      <c r="CL8" s="89"/>
      <c r="CM8" s="89" t="s">
        <v>79</v>
      </c>
      <c r="CN8" s="89" t="s">
        <v>79</v>
      </c>
      <c r="CO8" s="89" t="s">
        <v>79</v>
      </c>
      <c r="CP8" s="89" t="s">
        <v>79</v>
      </c>
      <c r="CQ8" s="89" t="s">
        <v>79</v>
      </c>
      <c r="CR8" s="89"/>
      <c r="CS8" s="89" t="s">
        <v>79</v>
      </c>
      <c r="CT8" s="89" t="s">
        <v>79</v>
      </c>
      <c r="CU8" s="89" t="s">
        <v>79</v>
      </c>
      <c r="CV8" s="89" t="s">
        <v>79</v>
      </c>
      <c r="CW8" s="89"/>
      <c r="CX8" s="89" t="s">
        <v>434</v>
      </c>
      <c r="CY8" s="89" t="s">
        <v>435</v>
      </c>
      <c r="CZ8" s="146" t="s">
        <v>366</v>
      </c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</row>
    <row r="9" spans="1:119" x14ac:dyDescent="0.25">
      <c r="A9" s="87" t="s">
        <v>420</v>
      </c>
      <c r="B9" s="87" t="s">
        <v>394</v>
      </c>
      <c r="C9" s="87" t="s">
        <v>365</v>
      </c>
      <c r="D9" s="88">
        <v>9</v>
      </c>
      <c r="E9" s="87"/>
      <c r="F9" s="87" t="s">
        <v>421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87" t="s">
        <v>79</v>
      </c>
      <c r="AA9" s="87" t="s">
        <v>79</v>
      </c>
      <c r="AB9" s="87" t="s">
        <v>79</v>
      </c>
      <c r="AC9" s="87" t="s">
        <v>79</v>
      </c>
      <c r="AD9" s="87" t="s">
        <v>79</v>
      </c>
      <c r="AE9" s="87" t="s">
        <v>79</v>
      </c>
      <c r="AF9" s="87" t="s">
        <v>79</v>
      </c>
      <c r="AG9" s="87" t="s">
        <v>79</v>
      </c>
      <c r="AH9" s="87" t="s">
        <v>79</v>
      </c>
      <c r="AI9" s="87" t="s">
        <v>436</v>
      </c>
      <c r="AJ9" s="87" t="s">
        <v>79</v>
      </c>
      <c r="AK9" s="87" t="s">
        <v>79</v>
      </c>
      <c r="AL9" s="87" t="s">
        <v>79</v>
      </c>
      <c r="AM9" s="87" t="s">
        <v>79</v>
      </c>
      <c r="AN9" s="87" t="s">
        <v>79</v>
      </c>
      <c r="AO9" s="87" t="s">
        <v>80</v>
      </c>
      <c r="AP9" s="87" t="s">
        <v>79</v>
      </c>
      <c r="AQ9" s="87" t="s">
        <v>80</v>
      </c>
      <c r="AR9" s="87" t="s">
        <v>80</v>
      </c>
      <c r="AS9" s="87" t="s">
        <v>80</v>
      </c>
      <c r="AT9" s="87" t="s">
        <v>80</v>
      </c>
      <c r="AU9" s="87"/>
      <c r="AV9" s="87" t="s">
        <v>79</v>
      </c>
      <c r="AW9" s="87" t="s">
        <v>79</v>
      </c>
      <c r="AX9" s="87" t="s">
        <v>79</v>
      </c>
      <c r="AY9" s="87" t="s">
        <v>79</v>
      </c>
      <c r="AZ9" s="87" t="s">
        <v>79</v>
      </c>
      <c r="BA9" s="87" t="s">
        <v>79</v>
      </c>
      <c r="BB9" s="87" t="s">
        <v>79</v>
      </c>
      <c r="BC9" s="87" t="s">
        <v>79</v>
      </c>
      <c r="BD9" s="87" t="s">
        <v>79</v>
      </c>
      <c r="BE9" s="87" t="s">
        <v>79</v>
      </c>
      <c r="BF9" s="87" t="s">
        <v>79</v>
      </c>
      <c r="BG9" s="87" t="s">
        <v>79</v>
      </c>
      <c r="BH9" s="87" t="s">
        <v>79</v>
      </c>
      <c r="BI9" s="87" t="s">
        <v>79</v>
      </c>
      <c r="BJ9" s="87" t="s">
        <v>80</v>
      </c>
      <c r="BK9" s="87" t="s">
        <v>80</v>
      </c>
      <c r="BL9" s="87" t="s">
        <v>437</v>
      </c>
      <c r="BM9" s="87" t="s">
        <v>79</v>
      </c>
      <c r="BN9" s="87" t="s">
        <v>79</v>
      </c>
      <c r="BO9" s="87" t="s">
        <v>79</v>
      </c>
      <c r="BP9" s="87" t="s">
        <v>79</v>
      </c>
      <c r="BQ9" s="87" t="s">
        <v>79</v>
      </c>
      <c r="BR9" s="87" t="s">
        <v>79</v>
      </c>
      <c r="BS9" s="87"/>
      <c r="BT9" s="87" t="s">
        <v>79</v>
      </c>
      <c r="BU9" s="87" t="s">
        <v>80</v>
      </c>
      <c r="BV9" s="87" t="s">
        <v>79</v>
      </c>
      <c r="BW9" s="87" t="s">
        <v>80</v>
      </c>
      <c r="BX9" s="87" t="s">
        <v>80</v>
      </c>
      <c r="BY9" s="87" t="s">
        <v>80</v>
      </c>
      <c r="BZ9" s="87"/>
      <c r="CA9" s="87" t="s">
        <v>79</v>
      </c>
      <c r="CB9" s="87" t="s">
        <v>79</v>
      </c>
      <c r="CC9" s="87" t="s">
        <v>79</v>
      </c>
      <c r="CD9" s="87" t="s">
        <v>79</v>
      </c>
      <c r="CE9" s="87" t="s">
        <v>79</v>
      </c>
      <c r="CF9" s="87" t="s">
        <v>79</v>
      </c>
      <c r="CG9" s="87" t="s">
        <v>79</v>
      </c>
      <c r="CH9" s="87" t="s">
        <v>79</v>
      </c>
      <c r="CI9" s="87" t="s">
        <v>79</v>
      </c>
      <c r="CJ9" s="87" t="s">
        <v>79</v>
      </c>
      <c r="CK9" s="87" t="s">
        <v>79</v>
      </c>
      <c r="CL9" s="87"/>
      <c r="CM9" s="87" t="s">
        <v>79</v>
      </c>
      <c r="CN9" s="87" t="s">
        <v>80</v>
      </c>
      <c r="CO9" s="87" t="s">
        <v>79</v>
      </c>
      <c r="CP9" s="87" t="s">
        <v>79</v>
      </c>
      <c r="CQ9" s="87" t="s">
        <v>79</v>
      </c>
      <c r="CR9" s="87"/>
      <c r="CS9" s="87" t="s">
        <v>79</v>
      </c>
      <c r="CT9" s="87" t="s">
        <v>80</v>
      </c>
      <c r="CU9" s="87" t="s">
        <v>80</v>
      </c>
      <c r="CV9" s="87" t="s">
        <v>79</v>
      </c>
      <c r="CW9" s="87"/>
      <c r="CX9" s="87" t="s">
        <v>438</v>
      </c>
      <c r="CY9" s="87" t="s">
        <v>439</v>
      </c>
      <c r="CZ9" s="145" t="s">
        <v>366</v>
      </c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</row>
    <row r="10" spans="1:119" x14ac:dyDescent="0.25">
      <c r="A10" s="89"/>
      <c r="B10" s="89"/>
      <c r="C10" s="89"/>
      <c r="D10" s="90"/>
      <c r="E10" s="89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</row>
    <row r="11" spans="1:119" x14ac:dyDescent="0.25">
      <c r="A11" s="87"/>
      <c r="B11" s="87"/>
      <c r="C11" s="87"/>
      <c r="D11" s="88"/>
      <c r="E11" s="87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</row>
    <row r="12" spans="1:119" x14ac:dyDescent="0.25">
      <c r="A12" s="89"/>
      <c r="B12" s="89"/>
      <c r="C12" s="89"/>
      <c r="D12" s="90"/>
      <c r="E12" s="89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</row>
    <row r="13" spans="1:119" x14ac:dyDescent="0.25">
      <c r="A13" s="87"/>
      <c r="B13" s="87"/>
      <c r="C13" s="87"/>
      <c r="D13" s="88"/>
      <c r="E13" s="87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</row>
    <row r="14" spans="1:119" x14ac:dyDescent="0.25">
      <c r="A14" s="89"/>
      <c r="B14" s="89"/>
      <c r="C14" s="89"/>
      <c r="D14" s="90"/>
      <c r="E14" s="89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</row>
    <row r="15" spans="1:119" x14ac:dyDescent="0.25">
      <c r="A15" s="87"/>
      <c r="B15" s="87"/>
      <c r="C15" s="87"/>
      <c r="D15" s="88"/>
      <c r="E15" s="87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</row>
    <row r="16" spans="1:119" x14ac:dyDescent="0.25">
      <c r="A16" s="89"/>
      <c r="B16" s="89"/>
      <c r="C16" s="89"/>
      <c r="D16" s="90"/>
      <c r="E16" s="89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</row>
    <row r="17" spans="1:119" x14ac:dyDescent="0.25">
      <c r="A17" s="87"/>
      <c r="B17" s="87"/>
      <c r="C17" s="87"/>
      <c r="D17" s="88"/>
      <c r="E17" s="87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</row>
    <row r="18" spans="1:119" x14ac:dyDescent="0.25">
      <c r="A18" s="89"/>
      <c r="B18" s="89"/>
      <c r="C18" s="89"/>
      <c r="D18" s="90"/>
      <c r="E18" s="89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</row>
    <row r="19" spans="1:119" x14ac:dyDescent="0.25">
      <c r="A19" s="87"/>
      <c r="B19" s="87"/>
      <c r="C19" s="87"/>
      <c r="D19" s="88"/>
      <c r="E19" s="87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</row>
    <row r="20" spans="1:119" x14ac:dyDescent="0.25">
      <c r="A20" s="89"/>
      <c r="B20" s="89"/>
      <c r="C20" s="89"/>
      <c r="D20" s="90"/>
      <c r="E20" s="89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</row>
    <row r="21" spans="1:119" x14ac:dyDescent="0.25">
      <c r="A21" s="52"/>
      <c r="B21" s="52"/>
      <c r="C21" s="52"/>
      <c r="D21" s="52"/>
      <c r="E21" s="52"/>
      <c r="F21" s="86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68"/>
      <c r="R21" s="52"/>
      <c r="S21" s="52"/>
      <c r="T21" s="52"/>
      <c r="U21" s="52"/>
      <c r="V21" s="52"/>
      <c r="W21" s="52"/>
      <c r="X21" s="52"/>
      <c r="Y21" s="68"/>
      <c r="Z21" s="52"/>
      <c r="AA21" s="52"/>
      <c r="AB21" s="52"/>
      <c r="AC21" s="52"/>
      <c r="AD21" s="52"/>
      <c r="AE21" s="52"/>
      <c r="AF21" s="52"/>
      <c r="AG21" s="52"/>
      <c r="AH21" s="52"/>
      <c r="AI21" s="68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68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68"/>
      <c r="BM21" s="52"/>
      <c r="BN21" s="52"/>
      <c r="BO21" s="52"/>
      <c r="BP21" s="52"/>
      <c r="BQ21" s="52"/>
      <c r="BR21" s="52"/>
      <c r="BS21" s="71"/>
      <c r="BT21" s="52"/>
      <c r="BU21" s="52"/>
      <c r="BV21" s="52"/>
      <c r="BW21" s="52"/>
      <c r="BX21" s="52"/>
      <c r="BY21" s="52"/>
      <c r="BZ21" s="68"/>
      <c r="CA21" s="52"/>
      <c r="CB21" s="52"/>
      <c r="CC21" s="53"/>
    </row>
    <row r="22" spans="1:119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68"/>
      <c r="R22" s="52"/>
      <c r="S22" s="52"/>
      <c r="T22" s="52"/>
      <c r="U22" s="52"/>
      <c r="V22" s="52"/>
      <c r="W22" s="52"/>
      <c r="X22" s="52"/>
      <c r="Y22" s="68"/>
      <c r="Z22" s="52"/>
      <c r="AA22" s="52"/>
      <c r="AB22" s="52"/>
      <c r="AC22" s="52"/>
      <c r="AD22" s="52"/>
      <c r="AE22" s="52"/>
      <c r="AF22" s="52"/>
      <c r="AG22" s="52"/>
      <c r="AH22" s="52"/>
      <c r="AI22" s="68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68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68"/>
      <c r="BM22" s="52"/>
      <c r="BN22" s="52"/>
      <c r="BO22" s="52"/>
      <c r="BP22" s="52"/>
      <c r="BQ22" s="52"/>
      <c r="BR22" s="52"/>
      <c r="BS22" s="68"/>
      <c r="BT22" s="52"/>
      <c r="BU22" s="52"/>
      <c r="BV22" s="52"/>
      <c r="BW22" s="52"/>
      <c r="BX22" s="52"/>
      <c r="BY22" s="52"/>
      <c r="BZ22" s="68"/>
      <c r="CA22" s="52"/>
      <c r="CB22" s="52"/>
      <c r="CC22" s="52"/>
    </row>
    <row r="23" spans="1:119" ht="16.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68"/>
      <c r="R23" s="52"/>
      <c r="S23" s="52"/>
      <c r="T23" s="52"/>
      <c r="U23" s="52"/>
      <c r="V23" s="52"/>
      <c r="W23" s="52"/>
      <c r="X23" s="52"/>
      <c r="Y23" s="68"/>
      <c r="Z23" s="52"/>
      <c r="AA23" s="52"/>
      <c r="AB23" s="52"/>
      <c r="AC23" s="52"/>
      <c r="AD23" s="52"/>
      <c r="AE23" s="52"/>
      <c r="AF23" s="52"/>
      <c r="AG23" s="52"/>
      <c r="AH23" s="52"/>
      <c r="AI23" s="68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68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68"/>
      <c r="BM23" s="52"/>
      <c r="BN23" s="52"/>
      <c r="BO23" s="52"/>
      <c r="BP23" s="52"/>
      <c r="BQ23" s="52"/>
      <c r="BR23" s="52"/>
      <c r="BS23" s="68"/>
      <c r="BT23" s="52"/>
      <c r="BU23" s="52"/>
      <c r="BV23" s="52"/>
      <c r="BW23" s="52"/>
      <c r="BX23" s="52"/>
      <c r="BY23" s="52"/>
      <c r="BZ23" s="68"/>
      <c r="CA23" s="52"/>
      <c r="CB23" s="52"/>
      <c r="CC23" s="52"/>
    </row>
    <row r="24" spans="1:119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69"/>
      <c r="R24" s="51"/>
      <c r="S24" s="51"/>
      <c r="T24" s="51"/>
      <c r="U24" s="51"/>
      <c r="V24" s="51"/>
      <c r="W24" s="51"/>
      <c r="X24" s="51"/>
      <c r="Y24" s="69"/>
      <c r="Z24" s="51"/>
      <c r="AA24" s="51"/>
      <c r="AB24" s="51"/>
      <c r="AC24" s="51"/>
      <c r="AD24" s="51"/>
      <c r="AE24" s="51"/>
      <c r="AF24" s="51"/>
      <c r="AG24" s="51"/>
      <c r="AH24" s="51"/>
      <c r="AI24" s="69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69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69"/>
      <c r="BM24" s="51"/>
      <c r="BN24" s="51"/>
      <c r="BO24" s="51"/>
      <c r="BP24" s="51"/>
      <c r="BQ24" s="51"/>
      <c r="BR24" s="51"/>
      <c r="BS24" s="69"/>
      <c r="BT24" s="51"/>
      <c r="BU24" s="51"/>
      <c r="BV24" s="51"/>
      <c r="BW24" s="51"/>
      <c r="BX24" s="51"/>
      <c r="BY24" s="51"/>
      <c r="BZ24" s="69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69"/>
      <c r="CM24" s="51"/>
      <c r="CN24" s="51"/>
      <c r="CO24" s="51"/>
      <c r="CP24" s="51"/>
      <c r="CQ24" s="51"/>
      <c r="CR24" s="69"/>
      <c r="CS24" s="51"/>
      <c r="CT24" s="51"/>
      <c r="CU24" s="51"/>
      <c r="CV24" s="51"/>
      <c r="CW24" s="69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</row>
    <row r="25" spans="1:119" x14ac:dyDescent="0.25">
      <c r="F25" t="s">
        <v>79</v>
      </c>
      <c r="G25">
        <f>COUNTIF(G3:G24, "Да")</f>
        <v>0</v>
      </c>
      <c r="H25">
        <f t="shared" ref="H25:BY25" si="0">COUNTIF(H3:H24, "Да")</f>
        <v>0</v>
      </c>
      <c r="I25">
        <f t="shared" si="0"/>
        <v>0</v>
      </c>
      <c r="J25">
        <f t="shared" si="0"/>
        <v>0</v>
      </c>
      <c r="K25">
        <f t="shared" si="0"/>
        <v>0</v>
      </c>
      <c r="L25">
        <f t="shared" si="0"/>
        <v>0</v>
      </c>
      <c r="M25">
        <f t="shared" si="0"/>
        <v>0</v>
      </c>
      <c r="N25">
        <f t="shared" si="0"/>
        <v>0</v>
      </c>
      <c r="O25">
        <f t="shared" si="0"/>
        <v>0</v>
      </c>
      <c r="P25">
        <f t="shared" si="0"/>
        <v>0</v>
      </c>
      <c r="Q25" s="66">
        <f t="shared" si="0"/>
        <v>0</v>
      </c>
      <c r="R25">
        <f t="shared" si="0"/>
        <v>0</v>
      </c>
      <c r="S25">
        <f t="shared" si="0"/>
        <v>0</v>
      </c>
      <c r="T25">
        <f t="shared" si="0"/>
        <v>0</v>
      </c>
      <c r="U25">
        <f t="shared" si="0"/>
        <v>0</v>
      </c>
      <c r="V25">
        <f t="shared" si="0"/>
        <v>0</v>
      </c>
      <c r="W25">
        <f t="shared" si="0"/>
        <v>0</v>
      </c>
      <c r="X25">
        <f t="shared" si="0"/>
        <v>0</v>
      </c>
      <c r="Y25" s="66">
        <f t="shared" si="0"/>
        <v>0</v>
      </c>
      <c r="Z25">
        <f t="shared" si="0"/>
        <v>6</v>
      </c>
      <c r="AA25">
        <f t="shared" si="0"/>
        <v>6</v>
      </c>
      <c r="AB25">
        <f t="shared" si="0"/>
        <v>6</v>
      </c>
      <c r="AC25">
        <f t="shared" si="0"/>
        <v>6</v>
      </c>
      <c r="AD25">
        <f t="shared" si="0"/>
        <v>6</v>
      </c>
      <c r="AE25">
        <f t="shared" si="0"/>
        <v>6</v>
      </c>
      <c r="AF25">
        <f t="shared" si="0"/>
        <v>6</v>
      </c>
      <c r="AG25">
        <f t="shared" si="0"/>
        <v>6</v>
      </c>
      <c r="AH25">
        <f t="shared" si="0"/>
        <v>5</v>
      </c>
      <c r="AI25" s="66">
        <f t="shared" si="0"/>
        <v>0</v>
      </c>
      <c r="AJ25">
        <f t="shared" si="0"/>
        <v>5</v>
      </c>
      <c r="AK25">
        <f t="shared" si="0"/>
        <v>5</v>
      </c>
      <c r="AL25">
        <f t="shared" si="0"/>
        <v>4</v>
      </c>
      <c r="AM25">
        <f t="shared" si="0"/>
        <v>6</v>
      </c>
      <c r="AN25">
        <f t="shared" si="0"/>
        <v>6</v>
      </c>
      <c r="AO25">
        <f t="shared" si="0"/>
        <v>3</v>
      </c>
      <c r="AP25">
        <f t="shared" si="0"/>
        <v>6</v>
      </c>
      <c r="AQ25">
        <f t="shared" si="0"/>
        <v>2</v>
      </c>
      <c r="AR25">
        <f t="shared" si="0"/>
        <v>2</v>
      </c>
      <c r="AS25">
        <f t="shared" si="0"/>
        <v>3</v>
      </c>
      <c r="AT25">
        <f t="shared" si="0"/>
        <v>3</v>
      </c>
      <c r="AV25">
        <f t="shared" si="0"/>
        <v>6</v>
      </c>
      <c r="AW25">
        <f t="shared" si="0"/>
        <v>6</v>
      </c>
      <c r="AX25">
        <f t="shared" si="0"/>
        <v>6</v>
      </c>
      <c r="AY25">
        <f t="shared" si="0"/>
        <v>6</v>
      </c>
      <c r="AZ25">
        <f t="shared" si="0"/>
        <v>6</v>
      </c>
      <c r="BA25">
        <f t="shared" si="0"/>
        <v>6</v>
      </c>
      <c r="BB25">
        <f t="shared" si="0"/>
        <v>6</v>
      </c>
      <c r="BC25">
        <f t="shared" si="0"/>
        <v>5</v>
      </c>
      <c r="BD25">
        <f t="shared" si="0"/>
        <v>6</v>
      </c>
      <c r="BE25">
        <f t="shared" si="0"/>
        <v>4</v>
      </c>
      <c r="BF25">
        <f t="shared" si="0"/>
        <v>4</v>
      </c>
      <c r="BG25">
        <f t="shared" si="0"/>
        <v>5</v>
      </c>
      <c r="BH25">
        <f t="shared" si="0"/>
        <v>6</v>
      </c>
      <c r="BI25">
        <f t="shared" si="0"/>
        <v>5</v>
      </c>
      <c r="BJ25">
        <f t="shared" si="0"/>
        <v>4</v>
      </c>
      <c r="BK25">
        <f t="shared" si="0"/>
        <v>4</v>
      </c>
      <c r="BM25">
        <f t="shared" si="0"/>
        <v>6</v>
      </c>
      <c r="BN25">
        <f t="shared" si="0"/>
        <v>6</v>
      </c>
      <c r="BO25">
        <f t="shared" si="0"/>
        <v>3</v>
      </c>
      <c r="BP25">
        <f t="shared" si="0"/>
        <v>5</v>
      </c>
      <c r="BQ25">
        <f t="shared" si="0"/>
        <v>5</v>
      </c>
      <c r="BR25">
        <f t="shared" si="0"/>
        <v>5</v>
      </c>
      <c r="BS25" s="66">
        <f t="shared" si="0"/>
        <v>0</v>
      </c>
      <c r="BT25">
        <f t="shared" si="0"/>
        <v>6</v>
      </c>
      <c r="BU25">
        <f t="shared" si="0"/>
        <v>2</v>
      </c>
      <c r="BV25">
        <f t="shared" si="0"/>
        <v>3</v>
      </c>
      <c r="BW25">
        <f t="shared" si="0"/>
        <v>3</v>
      </c>
      <c r="BX25">
        <f t="shared" si="0"/>
        <v>2</v>
      </c>
      <c r="BY25">
        <f t="shared" si="0"/>
        <v>1</v>
      </c>
      <c r="CA25">
        <f t="shared" ref="CA25:CV25" si="1">COUNTIF(CA3:CA24, "Да")</f>
        <v>4</v>
      </c>
      <c r="CB25">
        <f t="shared" si="1"/>
        <v>6</v>
      </c>
      <c r="CC25">
        <f t="shared" si="1"/>
        <v>5</v>
      </c>
      <c r="CD25">
        <f t="shared" si="1"/>
        <v>5</v>
      </c>
      <c r="CE25">
        <f t="shared" si="1"/>
        <v>6</v>
      </c>
      <c r="CF25">
        <f t="shared" si="1"/>
        <v>5</v>
      </c>
      <c r="CG25">
        <f t="shared" si="1"/>
        <v>5</v>
      </c>
      <c r="CH25">
        <f t="shared" si="1"/>
        <v>5</v>
      </c>
      <c r="CI25">
        <f t="shared" si="1"/>
        <v>4</v>
      </c>
      <c r="CJ25">
        <f t="shared" si="1"/>
        <v>4</v>
      </c>
      <c r="CK25">
        <f t="shared" si="1"/>
        <v>5</v>
      </c>
      <c r="CM25">
        <f t="shared" si="1"/>
        <v>3</v>
      </c>
      <c r="CN25">
        <f t="shared" si="1"/>
        <v>2</v>
      </c>
      <c r="CO25">
        <f t="shared" si="1"/>
        <v>4</v>
      </c>
      <c r="CP25">
        <f t="shared" si="1"/>
        <v>4</v>
      </c>
      <c r="CQ25">
        <f t="shared" si="1"/>
        <v>5</v>
      </c>
      <c r="CS25">
        <f t="shared" si="1"/>
        <v>2</v>
      </c>
      <c r="CT25">
        <f t="shared" si="1"/>
        <v>1</v>
      </c>
      <c r="CU25">
        <f t="shared" si="1"/>
        <v>2</v>
      </c>
      <c r="CV25">
        <f t="shared" si="1"/>
        <v>3</v>
      </c>
    </row>
    <row r="26" spans="1:119" x14ac:dyDescent="0.25">
      <c r="F26" t="s">
        <v>82</v>
      </c>
      <c r="G26">
        <f>COUNTIF(G3:G24, "Нет")</f>
        <v>0</v>
      </c>
      <c r="H26">
        <f t="shared" ref="H26:BY26" si="2">COUNTIF(H3:H24, "Нет")</f>
        <v>0</v>
      </c>
      <c r="I26">
        <f t="shared" si="2"/>
        <v>0</v>
      </c>
      <c r="J26">
        <f t="shared" si="2"/>
        <v>0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 s="66">
        <f t="shared" si="2"/>
        <v>0</v>
      </c>
      <c r="R26">
        <f t="shared" si="2"/>
        <v>0</v>
      </c>
      <c r="S26">
        <f t="shared" si="2"/>
        <v>0</v>
      </c>
      <c r="T26">
        <f t="shared" si="2"/>
        <v>0</v>
      </c>
      <c r="U26">
        <f t="shared" si="2"/>
        <v>0</v>
      </c>
      <c r="V26">
        <f t="shared" si="2"/>
        <v>0</v>
      </c>
      <c r="W26">
        <f t="shared" si="2"/>
        <v>0</v>
      </c>
      <c r="X26">
        <f t="shared" si="2"/>
        <v>0</v>
      </c>
      <c r="Y26" s="66">
        <f t="shared" si="2"/>
        <v>0</v>
      </c>
      <c r="Z26">
        <f t="shared" si="2"/>
        <v>0</v>
      </c>
      <c r="AA26">
        <f t="shared" si="2"/>
        <v>0</v>
      </c>
      <c r="AB26">
        <f t="shared" si="2"/>
        <v>0</v>
      </c>
      <c r="AC26">
        <f t="shared" si="2"/>
        <v>0</v>
      </c>
      <c r="AD26">
        <f t="shared" si="2"/>
        <v>0</v>
      </c>
      <c r="AE26">
        <f t="shared" si="2"/>
        <v>0</v>
      </c>
      <c r="AF26">
        <f t="shared" si="2"/>
        <v>0</v>
      </c>
      <c r="AG26">
        <f t="shared" si="2"/>
        <v>0</v>
      </c>
      <c r="AH26">
        <f t="shared" si="2"/>
        <v>0</v>
      </c>
      <c r="AI26" s="66">
        <f t="shared" si="2"/>
        <v>0</v>
      </c>
      <c r="AJ26">
        <f t="shared" si="2"/>
        <v>0</v>
      </c>
      <c r="AK26">
        <f t="shared" si="2"/>
        <v>0</v>
      </c>
      <c r="AL26">
        <f t="shared" si="2"/>
        <v>0</v>
      </c>
      <c r="AM26">
        <f t="shared" si="2"/>
        <v>0</v>
      </c>
      <c r="AN26">
        <f t="shared" si="2"/>
        <v>0</v>
      </c>
      <c r="AO26">
        <f t="shared" si="2"/>
        <v>0</v>
      </c>
      <c r="AP26">
        <f t="shared" si="2"/>
        <v>0</v>
      </c>
      <c r="AQ26">
        <f t="shared" si="2"/>
        <v>0</v>
      </c>
      <c r="AR26">
        <f t="shared" si="2"/>
        <v>0</v>
      </c>
      <c r="AS26">
        <f t="shared" si="2"/>
        <v>0</v>
      </c>
      <c r="AT26">
        <f t="shared" si="2"/>
        <v>0</v>
      </c>
      <c r="AV26">
        <f t="shared" si="2"/>
        <v>0</v>
      </c>
      <c r="AW26">
        <f t="shared" si="2"/>
        <v>0</v>
      </c>
      <c r="AX26">
        <f t="shared" si="2"/>
        <v>0</v>
      </c>
      <c r="AY26">
        <f t="shared" si="2"/>
        <v>0</v>
      </c>
      <c r="AZ26">
        <f t="shared" si="2"/>
        <v>0</v>
      </c>
      <c r="BA26">
        <f t="shared" si="2"/>
        <v>0</v>
      </c>
      <c r="BB26">
        <f t="shared" si="2"/>
        <v>0</v>
      </c>
      <c r="BC26">
        <f t="shared" si="2"/>
        <v>0</v>
      </c>
      <c r="BD26">
        <f t="shared" si="2"/>
        <v>0</v>
      </c>
      <c r="BE26">
        <f t="shared" si="2"/>
        <v>0</v>
      </c>
      <c r="BF26">
        <f t="shared" si="2"/>
        <v>0</v>
      </c>
      <c r="BG26">
        <f t="shared" si="2"/>
        <v>0</v>
      </c>
      <c r="BH26">
        <f t="shared" si="2"/>
        <v>0</v>
      </c>
      <c r="BI26">
        <f t="shared" si="2"/>
        <v>0</v>
      </c>
      <c r="BJ26">
        <f t="shared" si="2"/>
        <v>0</v>
      </c>
      <c r="BK26">
        <f t="shared" si="2"/>
        <v>0</v>
      </c>
      <c r="BM26">
        <f t="shared" si="2"/>
        <v>0</v>
      </c>
      <c r="BN26">
        <f t="shared" si="2"/>
        <v>0</v>
      </c>
      <c r="BO26">
        <f t="shared" si="2"/>
        <v>0</v>
      </c>
      <c r="BP26">
        <f t="shared" si="2"/>
        <v>0</v>
      </c>
      <c r="BQ26">
        <f t="shared" si="2"/>
        <v>0</v>
      </c>
      <c r="BR26">
        <f t="shared" si="2"/>
        <v>0</v>
      </c>
      <c r="BS26" s="66">
        <f t="shared" si="2"/>
        <v>0</v>
      </c>
      <c r="BT26">
        <f t="shared" si="2"/>
        <v>0</v>
      </c>
      <c r="BU26">
        <f t="shared" si="2"/>
        <v>0</v>
      </c>
      <c r="BV26">
        <f t="shared" si="2"/>
        <v>0</v>
      </c>
      <c r="BW26">
        <f t="shared" si="2"/>
        <v>0</v>
      </c>
      <c r="BX26">
        <f t="shared" si="2"/>
        <v>0</v>
      </c>
      <c r="BY26">
        <f t="shared" si="2"/>
        <v>1</v>
      </c>
      <c r="CA26">
        <f t="shared" ref="CA26:CV26" si="3">COUNTIF(CA3:CA24, "Нет")</f>
        <v>0</v>
      </c>
      <c r="CB26">
        <f t="shared" si="3"/>
        <v>0</v>
      </c>
      <c r="CC26">
        <f t="shared" si="3"/>
        <v>0</v>
      </c>
      <c r="CD26">
        <f t="shared" si="3"/>
        <v>0</v>
      </c>
      <c r="CE26">
        <f t="shared" si="3"/>
        <v>0</v>
      </c>
      <c r="CF26">
        <f t="shared" si="3"/>
        <v>0</v>
      </c>
      <c r="CG26">
        <f t="shared" si="3"/>
        <v>0</v>
      </c>
      <c r="CH26">
        <f t="shared" si="3"/>
        <v>0</v>
      </c>
      <c r="CI26">
        <f t="shared" si="3"/>
        <v>0</v>
      </c>
      <c r="CJ26">
        <f t="shared" si="3"/>
        <v>0</v>
      </c>
      <c r="CK26">
        <f t="shared" si="3"/>
        <v>0</v>
      </c>
      <c r="CM26">
        <f t="shared" si="3"/>
        <v>0</v>
      </c>
      <c r="CN26">
        <f t="shared" si="3"/>
        <v>0</v>
      </c>
      <c r="CO26">
        <f t="shared" si="3"/>
        <v>0</v>
      </c>
      <c r="CP26">
        <f t="shared" si="3"/>
        <v>0</v>
      </c>
      <c r="CQ26">
        <f t="shared" si="3"/>
        <v>0</v>
      </c>
      <c r="CS26">
        <f t="shared" si="3"/>
        <v>0</v>
      </c>
      <c r="CT26">
        <f t="shared" si="3"/>
        <v>0</v>
      </c>
      <c r="CU26">
        <f t="shared" si="3"/>
        <v>0</v>
      </c>
      <c r="CV26">
        <f t="shared" si="3"/>
        <v>0</v>
      </c>
    </row>
    <row r="27" spans="1:119" x14ac:dyDescent="0.25">
      <c r="F27" t="s">
        <v>80</v>
      </c>
      <c r="G27">
        <f>COUNTIF(G3:G24, "Не могу оценить")</f>
        <v>0</v>
      </c>
      <c r="H27">
        <f t="shared" ref="H27:BY27" si="4">COUNTIF(H3:H24, "Не могу оценить")</f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 s="66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 s="66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  <c r="AH27">
        <f t="shared" si="4"/>
        <v>1</v>
      </c>
      <c r="AI27" s="66">
        <f t="shared" si="4"/>
        <v>0</v>
      </c>
      <c r="AJ27">
        <f t="shared" si="4"/>
        <v>1</v>
      </c>
      <c r="AK27">
        <f t="shared" si="4"/>
        <v>1</v>
      </c>
      <c r="AL27">
        <f t="shared" si="4"/>
        <v>2</v>
      </c>
      <c r="AM27">
        <f t="shared" si="4"/>
        <v>0</v>
      </c>
      <c r="AN27">
        <f t="shared" si="4"/>
        <v>0</v>
      </c>
      <c r="AO27">
        <f t="shared" si="4"/>
        <v>3</v>
      </c>
      <c r="AP27">
        <f t="shared" si="4"/>
        <v>0</v>
      </c>
      <c r="AQ27">
        <f t="shared" si="4"/>
        <v>4</v>
      </c>
      <c r="AR27">
        <f t="shared" si="4"/>
        <v>4</v>
      </c>
      <c r="AS27">
        <f t="shared" si="4"/>
        <v>3</v>
      </c>
      <c r="AT27">
        <f t="shared" si="4"/>
        <v>3</v>
      </c>
      <c r="AV27">
        <f t="shared" si="4"/>
        <v>0</v>
      </c>
      <c r="AW27">
        <f t="shared" si="4"/>
        <v>0</v>
      </c>
      <c r="AX27">
        <f t="shared" si="4"/>
        <v>0</v>
      </c>
      <c r="AY27">
        <f t="shared" si="4"/>
        <v>0</v>
      </c>
      <c r="AZ27">
        <f t="shared" si="4"/>
        <v>0</v>
      </c>
      <c r="BA27">
        <f t="shared" si="4"/>
        <v>0</v>
      </c>
      <c r="BB27">
        <f t="shared" si="4"/>
        <v>0</v>
      </c>
      <c r="BC27">
        <f t="shared" si="4"/>
        <v>1</v>
      </c>
      <c r="BD27">
        <f t="shared" si="4"/>
        <v>0</v>
      </c>
      <c r="BE27">
        <f t="shared" si="4"/>
        <v>2</v>
      </c>
      <c r="BF27">
        <f t="shared" si="4"/>
        <v>2</v>
      </c>
      <c r="BG27">
        <f t="shared" si="4"/>
        <v>1</v>
      </c>
      <c r="BH27">
        <f t="shared" si="4"/>
        <v>0</v>
      </c>
      <c r="BI27">
        <f t="shared" si="4"/>
        <v>1</v>
      </c>
      <c r="BJ27">
        <f t="shared" si="4"/>
        <v>2</v>
      </c>
      <c r="BK27">
        <f t="shared" si="4"/>
        <v>2</v>
      </c>
      <c r="BM27">
        <f t="shared" si="4"/>
        <v>0</v>
      </c>
      <c r="BN27">
        <f t="shared" si="4"/>
        <v>0</v>
      </c>
      <c r="BO27">
        <f t="shared" si="4"/>
        <v>3</v>
      </c>
      <c r="BP27">
        <f t="shared" si="4"/>
        <v>1</v>
      </c>
      <c r="BQ27">
        <f t="shared" si="4"/>
        <v>1</v>
      </c>
      <c r="BR27">
        <f t="shared" si="4"/>
        <v>1</v>
      </c>
      <c r="BS27" s="66">
        <f t="shared" si="4"/>
        <v>0</v>
      </c>
      <c r="BT27">
        <f t="shared" si="4"/>
        <v>0</v>
      </c>
      <c r="BU27">
        <f t="shared" si="4"/>
        <v>4</v>
      </c>
      <c r="BV27">
        <f t="shared" si="4"/>
        <v>3</v>
      </c>
      <c r="BW27">
        <f t="shared" si="4"/>
        <v>3</v>
      </c>
      <c r="BX27">
        <f t="shared" si="4"/>
        <v>4</v>
      </c>
      <c r="BY27">
        <f t="shared" si="4"/>
        <v>4</v>
      </c>
      <c r="CA27">
        <f t="shared" ref="CA27:CV27" si="5">COUNTIF(CA3:CA24, "Не могу оценить")</f>
        <v>2</v>
      </c>
      <c r="CB27">
        <f t="shared" si="5"/>
        <v>0</v>
      </c>
      <c r="CC27">
        <f t="shared" si="5"/>
        <v>1</v>
      </c>
      <c r="CD27">
        <f t="shared" si="5"/>
        <v>1</v>
      </c>
      <c r="CE27">
        <f t="shared" si="5"/>
        <v>0</v>
      </c>
      <c r="CF27">
        <f t="shared" si="5"/>
        <v>1</v>
      </c>
      <c r="CG27">
        <f t="shared" si="5"/>
        <v>1</v>
      </c>
      <c r="CH27">
        <f t="shared" si="5"/>
        <v>1</v>
      </c>
      <c r="CI27">
        <f t="shared" si="5"/>
        <v>2</v>
      </c>
      <c r="CJ27">
        <f t="shared" si="5"/>
        <v>2</v>
      </c>
      <c r="CK27">
        <f t="shared" si="5"/>
        <v>1</v>
      </c>
      <c r="CM27">
        <f t="shared" si="5"/>
        <v>3</v>
      </c>
      <c r="CN27">
        <f t="shared" si="5"/>
        <v>4</v>
      </c>
      <c r="CO27">
        <f t="shared" si="5"/>
        <v>2</v>
      </c>
      <c r="CP27">
        <f t="shared" si="5"/>
        <v>2</v>
      </c>
      <c r="CQ27">
        <f t="shared" si="5"/>
        <v>1</v>
      </c>
      <c r="CS27">
        <f t="shared" si="5"/>
        <v>4</v>
      </c>
      <c r="CT27">
        <f t="shared" si="5"/>
        <v>5</v>
      </c>
      <c r="CU27">
        <f t="shared" si="5"/>
        <v>4</v>
      </c>
      <c r="CV27">
        <f t="shared" si="5"/>
        <v>3</v>
      </c>
    </row>
    <row r="28" spans="1:119" x14ac:dyDescent="0.25">
      <c r="F28" t="s">
        <v>79</v>
      </c>
      <c r="G28" s="37">
        <f>G25/COUNTA($F$3:$F$24)</f>
        <v>0</v>
      </c>
      <c r="H28" s="37">
        <f t="shared" ref="H28:BY28" si="6">H25/COUNTA($F$3:$F$24)</f>
        <v>0</v>
      </c>
      <c r="I28" s="37">
        <f t="shared" si="6"/>
        <v>0</v>
      </c>
      <c r="J28" s="37">
        <f t="shared" si="6"/>
        <v>0</v>
      </c>
      <c r="K28" s="37">
        <f t="shared" si="6"/>
        <v>0</v>
      </c>
      <c r="L28" s="37">
        <f t="shared" si="6"/>
        <v>0</v>
      </c>
      <c r="M28" s="37">
        <f t="shared" si="6"/>
        <v>0</v>
      </c>
      <c r="N28" s="37">
        <f t="shared" si="6"/>
        <v>0</v>
      </c>
      <c r="O28" s="37">
        <f t="shared" si="6"/>
        <v>0</v>
      </c>
      <c r="P28" s="37">
        <f t="shared" si="6"/>
        <v>0</v>
      </c>
      <c r="Q28" s="70">
        <f t="shared" si="6"/>
        <v>0</v>
      </c>
      <c r="R28" s="37">
        <f t="shared" si="6"/>
        <v>0</v>
      </c>
      <c r="S28" s="37">
        <f t="shared" si="6"/>
        <v>0</v>
      </c>
      <c r="T28" s="37">
        <f t="shared" si="6"/>
        <v>0</v>
      </c>
      <c r="U28" s="37">
        <f t="shared" si="6"/>
        <v>0</v>
      </c>
      <c r="V28" s="37">
        <f t="shared" si="6"/>
        <v>0</v>
      </c>
      <c r="W28" s="37">
        <f t="shared" si="6"/>
        <v>0</v>
      </c>
      <c r="X28" s="37">
        <f t="shared" si="6"/>
        <v>0</v>
      </c>
      <c r="Y28" s="70">
        <f t="shared" si="6"/>
        <v>0</v>
      </c>
      <c r="Z28" s="37">
        <f>Z25/COUNTA($F$3:$F$24)</f>
        <v>1</v>
      </c>
      <c r="AA28" s="37">
        <f t="shared" si="6"/>
        <v>1</v>
      </c>
      <c r="AB28" s="37">
        <f t="shared" si="6"/>
        <v>1</v>
      </c>
      <c r="AC28" s="37">
        <f t="shared" si="6"/>
        <v>1</v>
      </c>
      <c r="AD28" s="37">
        <f t="shared" si="6"/>
        <v>1</v>
      </c>
      <c r="AE28" s="37">
        <f t="shared" si="6"/>
        <v>1</v>
      </c>
      <c r="AF28" s="37">
        <f t="shared" si="6"/>
        <v>1</v>
      </c>
      <c r="AG28" s="37">
        <f t="shared" si="6"/>
        <v>1</v>
      </c>
      <c r="AH28" s="37">
        <f t="shared" si="6"/>
        <v>0.83333333333333337</v>
      </c>
      <c r="AI28" s="70">
        <f t="shared" si="6"/>
        <v>0</v>
      </c>
      <c r="AJ28" s="37">
        <f t="shared" si="6"/>
        <v>0.83333333333333337</v>
      </c>
      <c r="AK28" s="37">
        <f t="shared" si="6"/>
        <v>0.83333333333333337</v>
      </c>
      <c r="AL28" s="37">
        <f t="shared" si="6"/>
        <v>0.66666666666666663</v>
      </c>
      <c r="AM28" s="37">
        <f t="shared" si="6"/>
        <v>1</v>
      </c>
      <c r="AN28" s="37">
        <f t="shared" si="6"/>
        <v>1</v>
      </c>
      <c r="AO28" s="37">
        <f t="shared" si="6"/>
        <v>0.5</v>
      </c>
      <c r="AP28" s="37">
        <f t="shared" si="6"/>
        <v>1</v>
      </c>
      <c r="AQ28" s="37">
        <f t="shared" si="6"/>
        <v>0.33333333333333331</v>
      </c>
      <c r="AR28" s="37">
        <f t="shared" si="6"/>
        <v>0.33333333333333331</v>
      </c>
      <c r="AS28" s="37">
        <f t="shared" si="6"/>
        <v>0.5</v>
      </c>
      <c r="AT28" s="37">
        <f t="shared" si="6"/>
        <v>0.5</v>
      </c>
      <c r="AU28" s="70"/>
      <c r="AV28" s="37">
        <f t="shared" si="6"/>
        <v>1</v>
      </c>
      <c r="AW28" s="37">
        <f t="shared" si="6"/>
        <v>1</v>
      </c>
      <c r="AX28" s="37">
        <f t="shared" si="6"/>
        <v>1</v>
      </c>
      <c r="AY28" s="37">
        <f t="shared" si="6"/>
        <v>1</v>
      </c>
      <c r="AZ28" s="37">
        <f t="shared" si="6"/>
        <v>1</v>
      </c>
      <c r="BA28" s="37">
        <f t="shared" si="6"/>
        <v>1</v>
      </c>
      <c r="BB28" s="37">
        <f t="shared" si="6"/>
        <v>1</v>
      </c>
      <c r="BC28" s="37">
        <f t="shared" si="6"/>
        <v>0.83333333333333337</v>
      </c>
      <c r="BD28" s="37">
        <f t="shared" si="6"/>
        <v>1</v>
      </c>
      <c r="BE28" s="37">
        <f t="shared" si="6"/>
        <v>0.66666666666666663</v>
      </c>
      <c r="BF28" s="37">
        <f t="shared" si="6"/>
        <v>0.66666666666666663</v>
      </c>
      <c r="BG28" s="37">
        <f t="shared" si="6"/>
        <v>0.83333333333333337</v>
      </c>
      <c r="BH28" s="37">
        <f t="shared" si="6"/>
        <v>1</v>
      </c>
      <c r="BI28" s="37">
        <f t="shared" si="6"/>
        <v>0.83333333333333337</v>
      </c>
      <c r="BJ28" s="37">
        <f t="shared" si="6"/>
        <v>0.66666666666666663</v>
      </c>
      <c r="BK28" s="37">
        <f t="shared" si="6"/>
        <v>0.66666666666666663</v>
      </c>
      <c r="BL28" s="70"/>
      <c r="BM28" s="37">
        <f t="shared" si="6"/>
        <v>1</v>
      </c>
      <c r="BN28" s="37">
        <f t="shared" si="6"/>
        <v>1</v>
      </c>
      <c r="BO28" s="37">
        <f t="shared" si="6"/>
        <v>0.5</v>
      </c>
      <c r="BP28" s="37">
        <f t="shared" si="6"/>
        <v>0.83333333333333337</v>
      </c>
      <c r="BQ28" s="37">
        <f t="shared" si="6"/>
        <v>0.83333333333333337</v>
      </c>
      <c r="BR28" s="37">
        <f t="shared" si="6"/>
        <v>0.83333333333333337</v>
      </c>
      <c r="BS28" s="70">
        <f t="shared" si="6"/>
        <v>0</v>
      </c>
      <c r="BT28" s="37">
        <f t="shared" si="6"/>
        <v>1</v>
      </c>
      <c r="BU28" s="37">
        <f t="shared" si="6"/>
        <v>0.33333333333333331</v>
      </c>
      <c r="BV28" s="37">
        <f t="shared" si="6"/>
        <v>0.5</v>
      </c>
      <c r="BW28" s="37">
        <f t="shared" si="6"/>
        <v>0.5</v>
      </c>
      <c r="BX28" s="37">
        <f t="shared" si="6"/>
        <v>0.33333333333333331</v>
      </c>
      <c r="BY28" s="37">
        <f t="shared" si="6"/>
        <v>0.16666666666666666</v>
      </c>
      <c r="BZ28" s="70"/>
      <c r="CA28" s="37">
        <f t="shared" ref="CA28:CV30" si="7">CA25/COUNTA($F$3:$F$24)</f>
        <v>0.66666666666666663</v>
      </c>
      <c r="CB28" s="37">
        <f t="shared" si="7"/>
        <v>1</v>
      </c>
      <c r="CC28" s="37">
        <f t="shared" si="7"/>
        <v>0.83333333333333337</v>
      </c>
      <c r="CD28" s="37">
        <f t="shared" si="7"/>
        <v>0.83333333333333337</v>
      </c>
      <c r="CE28" s="37">
        <f t="shared" si="7"/>
        <v>1</v>
      </c>
      <c r="CF28" s="37">
        <f t="shared" si="7"/>
        <v>0.83333333333333337</v>
      </c>
      <c r="CG28" s="37">
        <f t="shared" si="7"/>
        <v>0.83333333333333337</v>
      </c>
      <c r="CH28" s="37">
        <f t="shared" si="7"/>
        <v>0.83333333333333337</v>
      </c>
      <c r="CI28" s="37">
        <f t="shared" si="7"/>
        <v>0.66666666666666663</v>
      </c>
      <c r="CJ28" s="37">
        <f t="shared" si="7"/>
        <v>0.66666666666666663</v>
      </c>
      <c r="CK28" s="37">
        <f t="shared" si="7"/>
        <v>0.83333333333333337</v>
      </c>
      <c r="CL28" s="70"/>
      <c r="CM28" s="37">
        <f t="shared" si="7"/>
        <v>0.5</v>
      </c>
      <c r="CN28" s="37">
        <f t="shared" si="7"/>
        <v>0.33333333333333331</v>
      </c>
      <c r="CO28" s="37">
        <f t="shared" si="7"/>
        <v>0.66666666666666663</v>
      </c>
      <c r="CP28" s="37">
        <f t="shared" si="7"/>
        <v>0.66666666666666663</v>
      </c>
      <c r="CQ28" s="37">
        <f t="shared" si="7"/>
        <v>0.83333333333333337</v>
      </c>
      <c r="CR28" s="70"/>
      <c r="CS28" s="37">
        <f t="shared" si="7"/>
        <v>0.33333333333333331</v>
      </c>
      <c r="CT28" s="37">
        <f t="shared" si="7"/>
        <v>0.16666666666666666</v>
      </c>
      <c r="CU28" s="37">
        <f t="shared" si="7"/>
        <v>0.33333333333333331</v>
      </c>
      <c r="CV28" s="37">
        <f t="shared" si="7"/>
        <v>0.5</v>
      </c>
      <c r="CW28" s="70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</row>
    <row r="29" spans="1:119" x14ac:dyDescent="0.25">
      <c r="A29" s="47"/>
      <c r="B29" s="48"/>
      <c r="C29" s="37"/>
      <c r="D29" s="37"/>
      <c r="F29" t="s">
        <v>82</v>
      </c>
      <c r="G29" s="37">
        <f>G26/COUNTA($F$3:$F$24)</f>
        <v>0</v>
      </c>
      <c r="H29" s="37">
        <f t="shared" ref="H29:BY29" si="8">H26/COUNTA($F$3:$F$24)</f>
        <v>0</v>
      </c>
      <c r="I29" s="37">
        <f t="shared" si="8"/>
        <v>0</v>
      </c>
      <c r="J29" s="37">
        <f t="shared" si="8"/>
        <v>0</v>
      </c>
      <c r="K29" s="37">
        <f t="shared" si="8"/>
        <v>0</v>
      </c>
      <c r="L29" s="37">
        <f t="shared" si="8"/>
        <v>0</v>
      </c>
      <c r="M29" s="37">
        <f t="shared" si="8"/>
        <v>0</v>
      </c>
      <c r="N29" s="37">
        <f t="shared" si="8"/>
        <v>0</v>
      </c>
      <c r="O29" s="37">
        <f t="shared" si="8"/>
        <v>0</v>
      </c>
      <c r="P29" s="37">
        <f t="shared" si="8"/>
        <v>0</v>
      </c>
      <c r="Q29" s="70">
        <f t="shared" si="8"/>
        <v>0</v>
      </c>
      <c r="R29" s="37">
        <f t="shared" si="8"/>
        <v>0</v>
      </c>
      <c r="S29" s="37">
        <f t="shared" si="8"/>
        <v>0</v>
      </c>
      <c r="T29" s="37">
        <f t="shared" si="8"/>
        <v>0</v>
      </c>
      <c r="U29" s="37">
        <f t="shared" si="8"/>
        <v>0</v>
      </c>
      <c r="V29" s="37">
        <f t="shared" si="8"/>
        <v>0</v>
      </c>
      <c r="W29" s="37">
        <f t="shared" si="8"/>
        <v>0</v>
      </c>
      <c r="X29" s="37">
        <f t="shared" si="8"/>
        <v>0</v>
      </c>
      <c r="Y29" s="70">
        <f t="shared" si="8"/>
        <v>0</v>
      </c>
      <c r="Z29" s="37">
        <f t="shared" si="8"/>
        <v>0</v>
      </c>
      <c r="AA29" s="37">
        <f t="shared" si="8"/>
        <v>0</v>
      </c>
      <c r="AB29" s="37">
        <f t="shared" si="8"/>
        <v>0</v>
      </c>
      <c r="AC29" s="37">
        <f t="shared" si="8"/>
        <v>0</v>
      </c>
      <c r="AD29" s="37">
        <f t="shared" si="8"/>
        <v>0</v>
      </c>
      <c r="AE29" s="37">
        <f t="shared" si="8"/>
        <v>0</v>
      </c>
      <c r="AF29" s="37">
        <f t="shared" si="8"/>
        <v>0</v>
      </c>
      <c r="AG29" s="37">
        <f t="shared" si="8"/>
        <v>0</v>
      </c>
      <c r="AH29" s="37">
        <f t="shared" si="8"/>
        <v>0</v>
      </c>
      <c r="AI29" s="70">
        <f t="shared" si="8"/>
        <v>0</v>
      </c>
      <c r="AJ29" s="37">
        <f t="shared" si="8"/>
        <v>0</v>
      </c>
      <c r="AK29" s="37">
        <f t="shared" si="8"/>
        <v>0</v>
      </c>
      <c r="AL29" s="37">
        <f t="shared" si="8"/>
        <v>0</v>
      </c>
      <c r="AM29" s="37">
        <f t="shared" si="8"/>
        <v>0</v>
      </c>
      <c r="AN29" s="37">
        <f t="shared" si="8"/>
        <v>0</v>
      </c>
      <c r="AO29" s="37">
        <f t="shared" si="8"/>
        <v>0</v>
      </c>
      <c r="AP29" s="37">
        <f t="shared" si="8"/>
        <v>0</v>
      </c>
      <c r="AQ29" s="37">
        <f t="shared" si="8"/>
        <v>0</v>
      </c>
      <c r="AR29" s="37">
        <f t="shared" si="8"/>
        <v>0</v>
      </c>
      <c r="AS29" s="37">
        <f t="shared" si="8"/>
        <v>0</v>
      </c>
      <c r="AT29" s="37">
        <f t="shared" si="8"/>
        <v>0</v>
      </c>
      <c r="AU29" s="70"/>
      <c r="AV29" s="37">
        <f t="shared" si="8"/>
        <v>0</v>
      </c>
      <c r="AW29" s="37">
        <f t="shared" si="8"/>
        <v>0</v>
      </c>
      <c r="AX29" s="37">
        <f t="shared" si="8"/>
        <v>0</v>
      </c>
      <c r="AY29" s="37">
        <f t="shared" si="8"/>
        <v>0</v>
      </c>
      <c r="AZ29" s="37">
        <f t="shared" si="8"/>
        <v>0</v>
      </c>
      <c r="BA29" s="37">
        <f t="shared" si="8"/>
        <v>0</v>
      </c>
      <c r="BB29" s="37">
        <f t="shared" si="8"/>
        <v>0</v>
      </c>
      <c r="BC29" s="37">
        <f t="shared" si="8"/>
        <v>0</v>
      </c>
      <c r="BD29" s="37">
        <f t="shared" si="8"/>
        <v>0</v>
      </c>
      <c r="BE29" s="37">
        <f t="shared" si="8"/>
        <v>0</v>
      </c>
      <c r="BF29" s="37">
        <f t="shared" si="8"/>
        <v>0</v>
      </c>
      <c r="BG29" s="37">
        <f t="shared" si="8"/>
        <v>0</v>
      </c>
      <c r="BH29" s="37">
        <f t="shared" si="8"/>
        <v>0</v>
      </c>
      <c r="BI29" s="37">
        <f t="shared" si="8"/>
        <v>0</v>
      </c>
      <c r="BJ29" s="37">
        <f t="shared" si="8"/>
        <v>0</v>
      </c>
      <c r="BK29" s="37">
        <f t="shared" si="8"/>
        <v>0</v>
      </c>
      <c r="BL29" s="70"/>
      <c r="BM29" s="37">
        <f t="shared" si="8"/>
        <v>0</v>
      </c>
      <c r="BN29" s="37">
        <f t="shared" si="8"/>
        <v>0</v>
      </c>
      <c r="BO29" s="37">
        <f t="shared" si="8"/>
        <v>0</v>
      </c>
      <c r="BP29" s="37">
        <f t="shared" si="8"/>
        <v>0</v>
      </c>
      <c r="BQ29" s="37">
        <f t="shared" si="8"/>
        <v>0</v>
      </c>
      <c r="BR29" s="37">
        <f t="shared" si="8"/>
        <v>0</v>
      </c>
      <c r="BS29" s="70">
        <f t="shared" si="8"/>
        <v>0</v>
      </c>
      <c r="BT29" s="37">
        <f t="shared" si="8"/>
        <v>0</v>
      </c>
      <c r="BU29" s="37">
        <f t="shared" si="8"/>
        <v>0</v>
      </c>
      <c r="BV29" s="37">
        <f t="shared" si="8"/>
        <v>0</v>
      </c>
      <c r="BW29" s="37">
        <f t="shared" si="8"/>
        <v>0</v>
      </c>
      <c r="BX29" s="37">
        <f t="shared" si="8"/>
        <v>0</v>
      </c>
      <c r="BY29" s="37">
        <f t="shared" si="8"/>
        <v>0.16666666666666666</v>
      </c>
      <c r="BZ29" s="70"/>
      <c r="CA29" s="37">
        <f t="shared" si="7"/>
        <v>0</v>
      </c>
      <c r="CB29" s="37">
        <f t="shared" si="7"/>
        <v>0</v>
      </c>
      <c r="CC29" s="37">
        <f t="shared" si="7"/>
        <v>0</v>
      </c>
      <c r="CD29" s="37">
        <f t="shared" si="7"/>
        <v>0</v>
      </c>
      <c r="CE29" s="37">
        <f t="shared" si="7"/>
        <v>0</v>
      </c>
      <c r="CF29" s="37">
        <f t="shared" si="7"/>
        <v>0</v>
      </c>
      <c r="CG29" s="37">
        <f t="shared" si="7"/>
        <v>0</v>
      </c>
      <c r="CH29" s="37">
        <f t="shared" si="7"/>
        <v>0</v>
      </c>
      <c r="CI29" s="37">
        <f t="shared" si="7"/>
        <v>0</v>
      </c>
      <c r="CJ29" s="37">
        <f t="shared" si="7"/>
        <v>0</v>
      </c>
      <c r="CK29" s="37">
        <f t="shared" si="7"/>
        <v>0</v>
      </c>
      <c r="CL29" s="70"/>
      <c r="CM29" s="37">
        <f t="shared" si="7"/>
        <v>0</v>
      </c>
      <c r="CN29" s="37">
        <f t="shared" si="7"/>
        <v>0</v>
      </c>
      <c r="CO29" s="37">
        <f t="shared" si="7"/>
        <v>0</v>
      </c>
      <c r="CP29" s="37">
        <f t="shared" si="7"/>
        <v>0</v>
      </c>
      <c r="CQ29" s="37">
        <f t="shared" si="7"/>
        <v>0</v>
      </c>
      <c r="CR29" s="70"/>
      <c r="CS29" s="37">
        <f t="shared" si="7"/>
        <v>0</v>
      </c>
      <c r="CT29" s="37">
        <f t="shared" si="7"/>
        <v>0</v>
      </c>
      <c r="CU29" s="37">
        <f t="shared" si="7"/>
        <v>0</v>
      </c>
      <c r="CV29" s="37">
        <f t="shared" si="7"/>
        <v>0</v>
      </c>
      <c r="CW29" s="70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</row>
    <row r="30" spans="1:119" x14ac:dyDescent="0.25">
      <c r="A30" s="47"/>
      <c r="B30" s="48"/>
      <c r="C30" s="37"/>
      <c r="D30" s="37"/>
      <c r="F30" t="s">
        <v>80</v>
      </c>
      <c r="G30" s="37">
        <f>G27/COUNTA($F$3:$F$24)</f>
        <v>0</v>
      </c>
      <c r="H30" s="37">
        <f t="shared" ref="H30:BY30" si="9">H27/COUNTA($F$3:$F$24)</f>
        <v>0</v>
      </c>
      <c r="I30" s="37">
        <f t="shared" si="9"/>
        <v>0</v>
      </c>
      <c r="J30" s="37">
        <f t="shared" si="9"/>
        <v>0</v>
      </c>
      <c r="K30" s="37">
        <f t="shared" si="9"/>
        <v>0</v>
      </c>
      <c r="L30" s="37">
        <f t="shared" si="9"/>
        <v>0</v>
      </c>
      <c r="M30" s="37">
        <f t="shared" si="9"/>
        <v>0</v>
      </c>
      <c r="N30" s="37">
        <f t="shared" si="9"/>
        <v>0</v>
      </c>
      <c r="O30" s="37">
        <f t="shared" si="9"/>
        <v>0</v>
      </c>
      <c r="P30" s="37">
        <f t="shared" si="9"/>
        <v>0</v>
      </c>
      <c r="Q30" s="70">
        <f t="shared" si="9"/>
        <v>0</v>
      </c>
      <c r="R30" s="37">
        <f t="shared" si="9"/>
        <v>0</v>
      </c>
      <c r="S30" s="37">
        <f t="shared" si="9"/>
        <v>0</v>
      </c>
      <c r="T30" s="37">
        <f t="shared" si="9"/>
        <v>0</v>
      </c>
      <c r="U30" s="37">
        <f t="shared" si="9"/>
        <v>0</v>
      </c>
      <c r="V30" s="37">
        <f t="shared" si="9"/>
        <v>0</v>
      </c>
      <c r="W30" s="37">
        <f t="shared" si="9"/>
        <v>0</v>
      </c>
      <c r="X30" s="37">
        <f t="shared" si="9"/>
        <v>0</v>
      </c>
      <c r="Y30" s="70">
        <f t="shared" si="9"/>
        <v>0</v>
      </c>
      <c r="Z30" s="37">
        <f t="shared" si="9"/>
        <v>0</v>
      </c>
      <c r="AA30" s="37">
        <f t="shared" si="9"/>
        <v>0</v>
      </c>
      <c r="AB30" s="37">
        <f t="shared" si="9"/>
        <v>0</v>
      </c>
      <c r="AC30" s="37">
        <f t="shared" si="9"/>
        <v>0</v>
      </c>
      <c r="AD30" s="37">
        <f t="shared" si="9"/>
        <v>0</v>
      </c>
      <c r="AE30" s="37">
        <f t="shared" si="9"/>
        <v>0</v>
      </c>
      <c r="AF30" s="37">
        <f t="shared" si="9"/>
        <v>0</v>
      </c>
      <c r="AG30" s="37">
        <f t="shared" si="9"/>
        <v>0</v>
      </c>
      <c r="AH30" s="37">
        <f t="shared" si="9"/>
        <v>0.16666666666666666</v>
      </c>
      <c r="AI30" s="70">
        <f t="shared" si="9"/>
        <v>0</v>
      </c>
      <c r="AJ30" s="37">
        <f t="shared" si="9"/>
        <v>0.16666666666666666</v>
      </c>
      <c r="AK30" s="37">
        <f t="shared" si="9"/>
        <v>0.16666666666666666</v>
      </c>
      <c r="AL30" s="37">
        <f t="shared" si="9"/>
        <v>0.33333333333333331</v>
      </c>
      <c r="AM30" s="37">
        <f t="shared" si="9"/>
        <v>0</v>
      </c>
      <c r="AN30" s="37">
        <f t="shared" si="9"/>
        <v>0</v>
      </c>
      <c r="AO30" s="37">
        <f t="shared" si="9"/>
        <v>0.5</v>
      </c>
      <c r="AP30" s="37">
        <f t="shared" si="9"/>
        <v>0</v>
      </c>
      <c r="AQ30" s="37">
        <f t="shared" si="9"/>
        <v>0.66666666666666663</v>
      </c>
      <c r="AR30" s="37">
        <f t="shared" si="9"/>
        <v>0.66666666666666663</v>
      </c>
      <c r="AS30" s="37">
        <f t="shared" si="9"/>
        <v>0.5</v>
      </c>
      <c r="AT30" s="37">
        <f t="shared" si="9"/>
        <v>0.5</v>
      </c>
      <c r="AU30" s="70"/>
      <c r="AV30" s="37">
        <f t="shared" si="9"/>
        <v>0</v>
      </c>
      <c r="AW30" s="37">
        <f t="shared" si="9"/>
        <v>0</v>
      </c>
      <c r="AX30" s="37">
        <f t="shared" si="9"/>
        <v>0</v>
      </c>
      <c r="AY30" s="37">
        <f t="shared" si="9"/>
        <v>0</v>
      </c>
      <c r="AZ30" s="37">
        <f t="shared" si="9"/>
        <v>0</v>
      </c>
      <c r="BA30" s="37">
        <f t="shared" si="9"/>
        <v>0</v>
      </c>
      <c r="BB30" s="37">
        <f t="shared" si="9"/>
        <v>0</v>
      </c>
      <c r="BC30" s="37">
        <f t="shared" si="9"/>
        <v>0.16666666666666666</v>
      </c>
      <c r="BD30" s="37">
        <f t="shared" si="9"/>
        <v>0</v>
      </c>
      <c r="BE30" s="37">
        <f t="shared" si="9"/>
        <v>0.33333333333333331</v>
      </c>
      <c r="BF30" s="37">
        <f t="shared" si="9"/>
        <v>0.33333333333333331</v>
      </c>
      <c r="BG30" s="37">
        <f t="shared" si="9"/>
        <v>0.16666666666666666</v>
      </c>
      <c r="BH30" s="37">
        <f t="shared" si="9"/>
        <v>0</v>
      </c>
      <c r="BI30" s="37">
        <f t="shared" si="9"/>
        <v>0.16666666666666666</v>
      </c>
      <c r="BJ30" s="37">
        <f t="shared" si="9"/>
        <v>0.33333333333333331</v>
      </c>
      <c r="BK30" s="37">
        <f t="shared" si="9"/>
        <v>0.33333333333333331</v>
      </c>
      <c r="BL30" s="70"/>
      <c r="BM30" s="37">
        <f t="shared" si="9"/>
        <v>0</v>
      </c>
      <c r="BN30" s="37">
        <f t="shared" si="9"/>
        <v>0</v>
      </c>
      <c r="BO30" s="37">
        <f t="shared" si="9"/>
        <v>0.5</v>
      </c>
      <c r="BP30" s="37">
        <f t="shared" si="9"/>
        <v>0.16666666666666666</v>
      </c>
      <c r="BQ30" s="37">
        <f t="shared" si="9"/>
        <v>0.16666666666666666</v>
      </c>
      <c r="BR30" s="37">
        <f t="shared" si="9"/>
        <v>0.16666666666666666</v>
      </c>
      <c r="BS30" s="70">
        <f t="shared" si="9"/>
        <v>0</v>
      </c>
      <c r="BT30" s="37">
        <f t="shared" si="9"/>
        <v>0</v>
      </c>
      <c r="BU30" s="37">
        <f t="shared" si="9"/>
        <v>0.66666666666666663</v>
      </c>
      <c r="BV30" s="37">
        <f t="shared" si="9"/>
        <v>0.5</v>
      </c>
      <c r="BW30" s="37">
        <f t="shared" si="9"/>
        <v>0.5</v>
      </c>
      <c r="BX30" s="37">
        <f t="shared" si="9"/>
        <v>0.66666666666666663</v>
      </c>
      <c r="BY30" s="37">
        <f t="shared" si="9"/>
        <v>0.66666666666666663</v>
      </c>
      <c r="BZ30" s="70"/>
      <c r="CA30" s="37">
        <f t="shared" si="7"/>
        <v>0.33333333333333331</v>
      </c>
      <c r="CB30" s="37">
        <f t="shared" si="7"/>
        <v>0</v>
      </c>
      <c r="CC30" s="37">
        <f t="shared" si="7"/>
        <v>0.16666666666666666</v>
      </c>
      <c r="CD30" s="37">
        <f t="shared" si="7"/>
        <v>0.16666666666666666</v>
      </c>
      <c r="CE30" s="37">
        <f t="shared" si="7"/>
        <v>0</v>
      </c>
      <c r="CF30" s="37">
        <f t="shared" si="7"/>
        <v>0.16666666666666666</v>
      </c>
      <c r="CG30" s="37">
        <f t="shared" si="7"/>
        <v>0.16666666666666666</v>
      </c>
      <c r="CH30" s="37">
        <f t="shared" si="7"/>
        <v>0.16666666666666666</v>
      </c>
      <c r="CI30" s="37">
        <f t="shared" si="7"/>
        <v>0.33333333333333331</v>
      </c>
      <c r="CJ30" s="37">
        <f t="shared" si="7"/>
        <v>0.33333333333333331</v>
      </c>
      <c r="CK30" s="37">
        <f t="shared" si="7"/>
        <v>0.16666666666666666</v>
      </c>
      <c r="CL30" s="70"/>
      <c r="CM30" s="37">
        <f t="shared" si="7"/>
        <v>0.5</v>
      </c>
      <c r="CN30" s="37">
        <f t="shared" si="7"/>
        <v>0.66666666666666663</v>
      </c>
      <c r="CO30" s="37">
        <f t="shared" si="7"/>
        <v>0.33333333333333331</v>
      </c>
      <c r="CP30" s="37">
        <f t="shared" si="7"/>
        <v>0.33333333333333331</v>
      </c>
      <c r="CQ30" s="37">
        <f t="shared" si="7"/>
        <v>0.16666666666666666</v>
      </c>
      <c r="CR30" s="70"/>
      <c r="CS30" s="37">
        <f t="shared" si="7"/>
        <v>0.66666666666666663</v>
      </c>
      <c r="CT30" s="37">
        <f t="shared" si="7"/>
        <v>0.83333333333333337</v>
      </c>
      <c r="CU30" s="37">
        <f t="shared" si="7"/>
        <v>0.66666666666666663</v>
      </c>
      <c r="CV30" s="37">
        <f t="shared" si="7"/>
        <v>0.5</v>
      </c>
      <c r="CW30" s="70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</row>
    <row r="31" spans="1:119" x14ac:dyDescent="0.25">
      <c r="A31" s="47"/>
      <c r="B31" s="47"/>
    </row>
    <row r="32" spans="1:119" x14ac:dyDescent="0.25">
      <c r="A32" s="47"/>
      <c r="B32" s="47"/>
    </row>
    <row r="33" spans="1:2" x14ac:dyDescent="0.25">
      <c r="A33" s="47"/>
      <c r="B33" s="47"/>
    </row>
    <row r="34" spans="1:2" x14ac:dyDescent="0.25">
      <c r="A34" s="47"/>
      <c r="B34" s="47"/>
    </row>
    <row r="35" spans="1:2" x14ac:dyDescent="0.25">
      <c r="A35" s="47"/>
      <c r="B35" s="47"/>
    </row>
    <row r="36" spans="1:2" x14ac:dyDescent="0.25">
      <c r="A36" s="47"/>
      <c r="B36" s="47"/>
    </row>
    <row r="37" spans="1:2" x14ac:dyDescent="0.25">
      <c r="A37" s="47"/>
      <c r="B37" s="47"/>
    </row>
    <row r="38" spans="1:2" x14ac:dyDescent="0.25">
      <c r="A38" s="47"/>
      <c r="B38" s="47"/>
    </row>
    <row r="39" spans="1:2" x14ac:dyDescent="0.25">
      <c r="A39" s="47"/>
      <c r="B39" s="47"/>
    </row>
    <row r="40" spans="1:2" x14ac:dyDescent="0.25">
      <c r="A40" s="33" t="s">
        <v>219</v>
      </c>
      <c r="B40" s="33"/>
    </row>
    <row r="41" spans="1:2" ht="30" customHeight="1" x14ac:dyDescent="0.25">
      <c r="A41" s="35" t="s">
        <v>81</v>
      </c>
    </row>
    <row r="42" spans="1:2" ht="15.95" customHeight="1" x14ac:dyDescent="0.25">
      <c r="A42" s="153" t="str">
        <f>_xlfn.TEXTJOIN("
",1,AI3:AI23)</f>
        <v xml:space="preserve">Даша грамотно излагает свои мысли, доходчиво, ёмко и логично объясняет ответ на поставленный вопрос, кроме этого всегда подкрепляет логическую цепочку для нахождения правильного ответа.
При работе все было понятно. Коммуникация складывалась эффективно. 
У Даши отличные навыки коммуникации, со всеми находит общий язык.
</v>
      </c>
      <c r="B42" s="153"/>
    </row>
    <row r="43" spans="1:2" ht="86.1" customHeight="1" x14ac:dyDescent="0.25">
      <c r="A43" s="153"/>
      <c r="B43" s="153"/>
    </row>
    <row r="46" spans="1:2" x14ac:dyDescent="0.25">
      <c r="A46" s="33" t="s">
        <v>171</v>
      </c>
    </row>
    <row r="47" spans="1:2" ht="39" customHeight="1" x14ac:dyDescent="0.25">
      <c r="A47" s="35" t="s">
        <v>81</v>
      </c>
    </row>
    <row r="48" spans="1:2" ht="32.450000000000003" customHeight="1" x14ac:dyDescent="0.25">
      <c r="A48" s="153" t="str">
        <f>_xlfn.TEXTJOIN("
",1,AU3:AU23)</f>
        <v/>
      </c>
      <c r="B48" s="153"/>
    </row>
    <row r="49" spans="1:2" ht="141" customHeight="1" x14ac:dyDescent="0.25">
      <c r="A49" s="153"/>
      <c r="B49" s="153"/>
    </row>
    <row r="52" spans="1:2" x14ac:dyDescent="0.25">
      <c r="A52" s="33" t="s">
        <v>181</v>
      </c>
    </row>
    <row r="53" spans="1:2" ht="13.5" customHeight="1" x14ac:dyDescent="0.25">
      <c r="A53" s="35" t="s">
        <v>81</v>
      </c>
    </row>
    <row r="54" spans="1:2" ht="30.6" customHeight="1" x14ac:dyDescent="0.25">
      <c r="A54" s="153" t="str">
        <f>_xlfn.TEXTJOIN("
",1,BL3:BL23)</f>
        <v xml:space="preserve">Даша имеет крепкую проактивную позицию в команде и берет на себя лидерскую позицию </v>
      </c>
      <c r="B54" s="153"/>
    </row>
    <row r="55" spans="1:2" ht="0.6" customHeight="1" x14ac:dyDescent="0.25">
      <c r="A55" s="153"/>
      <c r="B55" s="153"/>
    </row>
    <row r="58" spans="1:2" x14ac:dyDescent="0.25">
      <c r="A58" s="33" t="s">
        <v>207</v>
      </c>
    </row>
    <row r="59" spans="1:2" ht="14.45" customHeight="1" x14ac:dyDescent="0.25">
      <c r="A59" s="35" t="s">
        <v>81</v>
      </c>
    </row>
    <row r="60" spans="1:2" ht="13.5" customHeight="1" x14ac:dyDescent="0.25">
      <c r="A60" s="153" t="str">
        <f>_xlfn.TEXTJOIN("
",1,CL3:CL23)</f>
        <v/>
      </c>
      <c r="B60" s="153"/>
    </row>
    <row r="61" spans="1:2" ht="51" customHeight="1" x14ac:dyDescent="0.25">
      <c r="A61" s="153"/>
      <c r="B61" s="153"/>
    </row>
    <row r="64" spans="1:2" x14ac:dyDescent="0.25">
      <c r="A64" s="33" t="s">
        <v>220</v>
      </c>
    </row>
    <row r="65" spans="1:2" ht="14.45" customHeight="1" x14ac:dyDescent="0.25">
      <c r="A65" s="35" t="s">
        <v>81</v>
      </c>
    </row>
    <row r="66" spans="1:2" ht="42.6" customHeight="1" x14ac:dyDescent="0.25">
      <c r="A66" s="153" t="str">
        <f>_xlfn.TEXTJOIN("
",1,BS3:BS23)</f>
        <v/>
      </c>
      <c r="B66" s="153"/>
    </row>
    <row r="67" spans="1:2" ht="11.1" customHeight="1" x14ac:dyDescent="0.25">
      <c r="A67" s="153"/>
      <c r="B67" s="153"/>
    </row>
    <row r="68" spans="1:2" x14ac:dyDescent="0.25">
      <c r="A68" s="35" t="s">
        <v>218</v>
      </c>
    </row>
    <row r="69" spans="1:2" ht="35.1" customHeight="1" x14ac:dyDescent="0.25">
      <c r="A69" s="35" t="s">
        <v>81</v>
      </c>
    </row>
    <row r="70" spans="1:2" ht="14.1" customHeight="1" x14ac:dyDescent="0.25">
      <c r="A70" s="153" t="str">
        <f>_xlfn.TEXTJOIN("
",1,CR3:CR23)</f>
        <v/>
      </c>
      <c r="B70" s="153"/>
    </row>
    <row r="71" spans="1:2" ht="137.1" customHeight="1" x14ac:dyDescent="0.25">
      <c r="A71" s="153"/>
      <c r="B71" s="153"/>
    </row>
    <row r="73" spans="1:2" x14ac:dyDescent="0.25">
      <c r="A73" s="35" t="s">
        <v>202</v>
      </c>
    </row>
    <row r="74" spans="1:2" ht="33.950000000000003" customHeight="1" x14ac:dyDescent="0.25">
      <c r="A74" s="35" t="s">
        <v>81</v>
      </c>
    </row>
    <row r="75" spans="1:2" ht="11.45" customHeight="1" x14ac:dyDescent="0.25">
      <c r="A75" s="153" t="str">
        <f>_xlfn.TEXTJOIN("
",1,'Оценка коллег'!BZ3:BZ8)</f>
        <v/>
      </c>
      <c r="B75" s="153"/>
    </row>
    <row r="76" spans="1:2" ht="68.099999999999994" customHeight="1" x14ac:dyDescent="0.25">
      <c r="A76" s="153"/>
      <c r="B76" s="153"/>
    </row>
    <row r="79" spans="1:2" x14ac:dyDescent="0.25">
      <c r="A79" s="33" t="s">
        <v>52</v>
      </c>
    </row>
    <row r="80" spans="1:2" ht="14.45" customHeight="1" x14ac:dyDescent="0.25">
      <c r="A80" s="35" t="s">
        <v>81</v>
      </c>
    </row>
    <row r="81" spans="1:2" ht="20.100000000000001" customHeight="1" x14ac:dyDescent="0.25">
      <c r="A81" s="154" t="str">
        <f>_xlfn.TEXTJOIN("
",1,Q3:Q24)</f>
        <v/>
      </c>
      <c r="B81" s="154"/>
    </row>
    <row r="85" spans="1:2" x14ac:dyDescent="0.25">
      <c r="A85" s="33" t="s">
        <v>53</v>
      </c>
    </row>
    <row r="86" spans="1:2" ht="14.45" customHeight="1" x14ac:dyDescent="0.25">
      <c r="A86" s="35" t="s">
        <v>81</v>
      </c>
    </row>
    <row r="87" spans="1:2" ht="21.6" customHeight="1" x14ac:dyDescent="0.25">
      <c r="A87" s="154" t="str">
        <f>_xlfn.TEXTJOIN("
",1,Y3:Y24)</f>
        <v/>
      </c>
      <c r="B87" s="154"/>
    </row>
    <row r="91" spans="1:2" x14ac:dyDescent="0.25">
      <c r="A91" s="35" t="s">
        <v>253</v>
      </c>
    </row>
    <row r="92" spans="1:2" x14ac:dyDescent="0.25">
      <c r="A92" s="35" t="s">
        <v>81</v>
      </c>
    </row>
    <row r="93" spans="1:2" ht="9.9499999999999993" customHeight="1" x14ac:dyDescent="0.25">
      <c r="A93" s="153" t="str">
        <f>_xlfn.TEXTJOIN("
",1,CW3:CW23)</f>
        <v/>
      </c>
      <c r="B93" s="153"/>
    </row>
    <row r="94" spans="1:2" ht="5.45" customHeight="1" x14ac:dyDescent="0.25">
      <c r="A94" s="153"/>
      <c r="B94" s="153"/>
    </row>
  </sheetData>
  <mergeCells count="18">
    <mergeCell ref="A60:B61"/>
    <mergeCell ref="A81:B81"/>
    <mergeCell ref="A93:B94"/>
    <mergeCell ref="CA1:CL1"/>
    <mergeCell ref="CM1:CR1"/>
    <mergeCell ref="A87:B87"/>
    <mergeCell ref="A66:B67"/>
    <mergeCell ref="A70:B71"/>
    <mergeCell ref="A75:B76"/>
    <mergeCell ref="A42:B43"/>
    <mergeCell ref="A48:B49"/>
    <mergeCell ref="A54:B55"/>
    <mergeCell ref="CS1:CW1"/>
    <mergeCell ref="Z1:AI1"/>
    <mergeCell ref="AJ1:AU1"/>
    <mergeCell ref="AV1:BK1"/>
    <mergeCell ref="BM1:BS1"/>
    <mergeCell ref="BT1:BZ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9:J153"/>
  <sheetViews>
    <sheetView showGridLines="0" topLeftCell="A14" zoomScale="70" zoomScaleNormal="70" workbookViewId="0">
      <selection activeCell="C30" sqref="C30"/>
    </sheetView>
  </sheetViews>
  <sheetFormatPr defaultColWidth="8.7109375" defaultRowHeight="18" x14ac:dyDescent="0.35"/>
  <cols>
    <col min="1" max="1" width="84.42578125" style="3" customWidth="1"/>
    <col min="2" max="2" width="11.140625" style="3" customWidth="1"/>
    <col min="3" max="3" width="10.140625" style="3" customWidth="1"/>
    <col min="4" max="4" width="8.85546875" style="3" customWidth="1"/>
    <col min="5" max="16384" width="8.7109375" style="3"/>
  </cols>
  <sheetData>
    <row r="9" spans="1:3" x14ac:dyDescent="0.35">
      <c r="A9" s="5" t="s">
        <v>27</v>
      </c>
      <c r="B9" s="6"/>
      <c r="C9" s="4"/>
    </row>
    <row r="10" spans="1:3" x14ac:dyDescent="0.35">
      <c r="A10" s="1" t="s">
        <v>22</v>
      </c>
      <c r="B10" s="46">
        <f>AVERAGE('Оценка коллег'!D3:D24)</f>
        <v>9.5714285714285712</v>
      </c>
      <c r="C10" s="1">
        <f>10-B10</f>
        <v>0.42857142857142883</v>
      </c>
    </row>
    <row r="24" spans="1:8" ht="29.45" customHeight="1" x14ac:dyDescent="0.35">
      <c r="A24" s="41" t="s">
        <v>160</v>
      </c>
      <c r="B24" s="41" t="s">
        <v>8</v>
      </c>
      <c r="C24" s="41" t="s">
        <v>79</v>
      </c>
      <c r="D24" s="41" t="s">
        <v>82</v>
      </c>
      <c r="E24" s="42" t="s">
        <v>80</v>
      </c>
    </row>
    <row r="25" spans="1:8" ht="56.25" x14ac:dyDescent="0.35">
      <c r="A25" s="22" t="s">
        <v>161</v>
      </c>
      <c r="B25" s="32" t="s">
        <v>102</v>
      </c>
      <c r="C25" s="31">
        <f>'Оценка коллег'!Z28</f>
        <v>1</v>
      </c>
      <c r="D25" s="31">
        <f>'Оценка коллег'!Z29</f>
        <v>0</v>
      </c>
      <c r="E25" s="31">
        <f>'Оценка коллег'!Z30</f>
        <v>0</v>
      </c>
    </row>
    <row r="26" spans="1:8" ht="37.5" x14ac:dyDescent="0.35">
      <c r="A26" s="22" t="s">
        <v>162</v>
      </c>
      <c r="B26" s="32" t="s">
        <v>102</v>
      </c>
      <c r="C26" s="31">
        <f>'Оценка коллег'!AA28</f>
        <v>1</v>
      </c>
      <c r="D26" s="31">
        <f>'Оценка коллег'!AA29</f>
        <v>0</v>
      </c>
      <c r="E26" s="31">
        <f>'Оценка коллег'!AA30</f>
        <v>0</v>
      </c>
    </row>
    <row r="27" spans="1:8" ht="37.5" x14ac:dyDescent="0.35">
      <c r="A27" s="22" t="s">
        <v>163</v>
      </c>
      <c r="B27" s="32" t="s">
        <v>102</v>
      </c>
      <c r="C27" s="31">
        <f>'Оценка коллег'!AB28</f>
        <v>1</v>
      </c>
      <c r="D27" s="31">
        <f>'Оценка коллег'!AB29</f>
        <v>0</v>
      </c>
      <c r="E27" s="31">
        <f>'Оценка коллег'!AB30</f>
        <v>0</v>
      </c>
    </row>
    <row r="28" spans="1:8" ht="37.5" x14ac:dyDescent="0.35">
      <c r="A28" s="22" t="s">
        <v>164</v>
      </c>
      <c r="B28" s="32" t="s">
        <v>102</v>
      </c>
      <c r="C28" s="31">
        <f>'Оценка коллег'!AC28</f>
        <v>1</v>
      </c>
      <c r="D28" s="31">
        <f>'Оценка коллег'!AC29</f>
        <v>0</v>
      </c>
      <c r="E28" s="31">
        <f>'Оценка коллег'!AC30</f>
        <v>0</v>
      </c>
      <c r="H28" s="45"/>
    </row>
    <row r="29" spans="1:8" ht="33.950000000000003" customHeight="1" x14ac:dyDescent="0.35">
      <c r="A29" s="22" t="s">
        <v>165</v>
      </c>
      <c r="B29" s="32" t="s">
        <v>102</v>
      </c>
      <c r="C29" s="31">
        <f>'Оценка коллег'!AD28</f>
        <v>1</v>
      </c>
      <c r="D29" s="31">
        <f>'Оценка коллег'!AD29</f>
        <v>0</v>
      </c>
      <c r="E29" s="31">
        <f>'Оценка коллег'!AD30</f>
        <v>0</v>
      </c>
    </row>
    <row r="30" spans="1:8" ht="37.5" x14ac:dyDescent="0.35">
      <c r="A30" s="22" t="s">
        <v>166</v>
      </c>
      <c r="B30" s="32" t="s">
        <v>102</v>
      </c>
      <c r="C30" s="31">
        <f>'Оценка коллег'!AE28</f>
        <v>1</v>
      </c>
      <c r="D30" s="31">
        <f>'Оценка коллег'!AE29</f>
        <v>0</v>
      </c>
      <c r="E30" s="31">
        <f>'Оценка коллег'!AE30</f>
        <v>0</v>
      </c>
    </row>
    <row r="31" spans="1:8" ht="24" x14ac:dyDescent="0.35">
      <c r="A31" s="22" t="s">
        <v>167</v>
      </c>
      <c r="B31" s="32" t="s">
        <v>102</v>
      </c>
      <c r="C31" s="31">
        <f>'Оценка коллег'!AF28</f>
        <v>1</v>
      </c>
      <c r="D31" s="31">
        <f>'Оценка коллег'!AF29</f>
        <v>0</v>
      </c>
      <c r="E31" s="31">
        <f>'Оценка коллег'!AF30</f>
        <v>0</v>
      </c>
    </row>
    <row r="32" spans="1:8" ht="56.25" x14ac:dyDescent="0.35">
      <c r="A32" s="22" t="s">
        <v>168</v>
      </c>
      <c r="B32" s="32" t="s">
        <v>102</v>
      </c>
      <c r="C32" s="31">
        <f>'Оценка коллег'!AG28</f>
        <v>1</v>
      </c>
      <c r="D32" s="31">
        <f>'Оценка коллег'!AG29</f>
        <v>0</v>
      </c>
      <c r="E32" s="31">
        <f>'Оценка коллег'!AG30</f>
        <v>0</v>
      </c>
    </row>
    <row r="33" spans="1:10" ht="56.25" x14ac:dyDescent="0.35">
      <c r="A33" s="22" t="s">
        <v>169</v>
      </c>
      <c r="B33" s="32" t="s">
        <v>102</v>
      </c>
      <c r="C33" s="31">
        <f>'Оценка коллег'!AH28</f>
        <v>0.83333333333333337</v>
      </c>
      <c r="D33" s="31">
        <f>'Оценка коллег'!AH29</f>
        <v>0</v>
      </c>
      <c r="E33" s="31">
        <f>'Оценка коллег'!AH30</f>
        <v>0.16666666666666666</v>
      </c>
    </row>
    <row r="34" spans="1:10" ht="21.6" customHeight="1" x14ac:dyDescent="0.35">
      <c r="A34" s="14" t="s">
        <v>170</v>
      </c>
      <c r="B34" s="15"/>
      <c r="C34" s="16"/>
      <c r="D34" s="36"/>
      <c r="E34" s="16"/>
    </row>
    <row r="36" spans="1:10" x14ac:dyDescent="0.35">
      <c r="A36" s="21"/>
    </row>
    <row r="39" spans="1:10" ht="30.6" customHeight="1" x14ac:dyDescent="0.35">
      <c r="A39" s="41" t="s">
        <v>171</v>
      </c>
      <c r="B39" s="41" t="s">
        <v>8</v>
      </c>
      <c r="C39" s="41" t="s">
        <v>79</v>
      </c>
      <c r="D39" s="42" t="s">
        <v>82</v>
      </c>
      <c r="E39" s="42" t="s">
        <v>80</v>
      </c>
    </row>
    <row r="40" spans="1:10" ht="37.5" x14ac:dyDescent="0.35">
      <c r="A40" s="22" t="s">
        <v>172</v>
      </c>
      <c r="B40" s="32" t="s">
        <v>102</v>
      </c>
      <c r="C40" s="31">
        <f>'Оценка коллег'!AJ28</f>
        <v>0.83333333333333337</v>
      </c>
      <c r="D40" s="40">
        <f>'Оценка коллег'!AJ29</f>
        <v>0</v>
      </c>
      <c r="E40" s="40">
        <f>'Оценка коллег'!AJ30</f>
        <v>0.16666666666666666</v>
      </c>
    </row>
    <row r="41" spans="1:10" ht="37.5" x14ac:dyDescent="0.35">
      <c r="A41" s="22" t="s">
        <v>173</v>
      </c>
      <c r="B41" s="32" t="s">
        <v>102</v>
      </c>
      <c r="C41" s="31">
        <f>'Оценка коллег'!AK28</f>
        <v>0.83333333333333337</v>
      </c>
      <c r="D41" s="40">
        <f>'Оценка коллег'!AK29</f>
        <v>0</v>
      </c>
      <c r="E41" s="40">
        <f>'Оценка коллег'!AK30</f>
        <v>0.16666666666666666</v>
      </c>
    </row>
    <row r="42" spans="1:10" ht="37.5" x14ac:dyDescent="0.35">
      <c r="A42" s="22" t="s">
        <v>174</v>
      </c>
      <c r="B42" s="32"/>
      <c r="C42" s="31">
        <f>'Оценка коллег'!AL28</f>
        <v>0.66666666666666663</v>
      </c>
      <c r="D42" s="40">
        <f>'Оценка коллег'!AL29</f>
        <v>0</v>
      </c>
      <c r="E42" s="40">
        <f>'Оценка коллег'!AL30</f>
        <v>0.33333333333333331</v>
      </c>
    </row>
    <row r="43" spans="1:10" ht="37.5" x14ac:dyDescent="0.35">
      <c r="A43" s="22" t="s">
        <v>175</v>
      </c>
      <c r="B43" s="32" t="s">
        <v>102</v>
      </c>
      <c r="C43" s="31">
        <f>'Оценка коллег'!AM28</f>
        <v>1</v>
      </c>
      <c r="D43" s="40">
        <f>'Оценка коллег'!AM29</f>
        <v>0</v>
      </c>
      <c r="E43" s="40">
        <f>'Оценка коллег'!AM30</f>
        <v>0</v>
      </c>
    </row>
    <row r="44" spans="1:10" ht="24" x14ac:dyDescent="0.35">
      <c r="A44" s="22" t="s">
        <v>176</v>
      </c>
      <c r="B44" s="32" t="s">
        <v>102</v>
      </c>
      <c r="C44" s="31">
        <f>'Оценка коллег'!AN28</f>
        <v>1</v>
      </c>
      <c r="D44" s="40">
        <f>'Оценка коллег'!AN29</f>
        <v>0</v>
      </c>
      <c r="E44" s="40">
        <f>'Оценка коллег'!AN30</f>
        <v>0</v>
      </c>
    </row>
    <row r="45" spans="1:10" ht="56.25" x14ac:dyDescent="0.35">
      <c r="A45" s="22" t="s">
        <v>177</v>
      </c>
      <c r="B45" s="32"/>
      <c r="C45" s="31">
        <f>'Оценка коллег'!AO28</f>
        <v>0.5</v>
      </c>
      <c r="D45" s="40">
        <f>'Оценка коллег'!AO29</f>
        <v>0</v>
      </c>
      <c r="E45" s="40">
        <f>'Оценка коллег'!AO30</f>
        <v>0.5</v>
      </c>
    </row>
    <row r="46" spans="1:10" ht="24" x14ac:dyDescent="0.35">
      <c r="A46" s="22" t="s">
        <v>178</v>
      </c>
      <c r="B46" s="32" t="s">
        <v>102</v>
      </c>
      <c r="C46" s="31">
        <f>'Оценка коллег'!AP28</f>
        <v>1</v>
      </c>
      <c r="D46" s="40">
        <f>'Оценка коллег'!AP29</f>
        <v>0</v>
      </c>
      <c r="E46" s="40">
        <f>'Оценка коллег'!AP30</f>
        <v>0</v>
      </c>
    </row>
    <row r="47" spans="1:10" ht="37.5" x14ac:dyDescent="0.35">
      <c r="A47" s="22" t="s">
        <v>179</v>
      </c>
      <c r="B47" s="32"/>
      <c r="C47" s="31">
        <f>'Оценка коллег'!AQ28</f>
        <v>0.33333333333333331</v>
      </c>
      <c r="D47" s="40">
        <f>'Оценка коллег'!AQ29</f>
        <v>0</v>
      </c>
      <c r="E47" s="40">
        <f>'Оценка коллег'!AQ30</f>
        <v>0.66666666666666663</v>
      </c>
      <c r="J47" s="142"/>
    </row>
    <row r="48" spans="1:10" ht="56.25" x14ac:dyDescent="0.35">
      <c r="A48" s="22" t="s">
        <v>180</v>
      </c>
      <c r="B48" s="32"/>
      <c r="C48" s="31">
        <f>'Оценка коллег'!AR28</f>
        <v>0.33333333333333331</v>
      </c>
      <c r="D48" s="40">
        <f>'Оценка коллег'!AR29</f>
        <v>0</v>
      </c>
      <c r="E48" s="40">
        <f>'Оценка коллег'!AR30</f>
        <v>0.66666666666666663</v>
      </c>
    </row>
    <row r="49" spans="1:5" ht="37.5" x14ac:dyDescent="0.35">
      <c r="A49" s="22" t="s">
        <v>233</v>
      </c>
      <c r="B49" s="32" t="s">
        <v>102</v>
      </c>
      <c r="C49" s="31">
        <f>'Оценка коллег'!AS28</f>
        <v>0.5</v>
      </c>
      <c r="D49" s="40">
        <f>'Оценка коллег'!AS29</f>
        <v>0</v>
      </c>
      <c r="E49" s="40">
        <f>'Оценка коллег'!AS30</f>
        <v>0.5</v>
      </c>
    </row>
    <row r="50" spans="1:5" ht="51.6" customHeight="1" x14ac:dyDescent="0.35">
      <c r="A50" s="22" t="s">
        <v>255</v>
      </c>
      <c r="B50" s="32"/>
      <c r="C50" s="31">
        <f>'Оценка коллег'!AT28</f>
        <v>0.5</v>
      </c>
      <c r="D50" s="40">
        <f>'Оценка коллег'!AT29</f>
        <v>0</v>
      </c>
      <c r="E50" s="40">
        <f>'Оценка коллег'!AT30</f>
        <v>0.5</v>
      </c>
    </row>
    <row r="51" spans="1:5" ht="56.25" x14ac:dyDescent="0.35">
      <c r="A51" s="19" t="s">
        <v>441</v>
      </c>
      <c r="B51" s="20"/>
      <c r="C51" s="38"/>
      <c r="D51" s="38"/>
      <c r="E51" s="38"/>
    </row>
    <row r="54" spans="1:5" ht="33" customHeight="1" x14ac:dyDescent="0.35">
      <c r="A54" s="41" t="s">
        <v>181</v>
      </c>
      <c r="B54" s="41" t="s">
        <v>8</v>
      </c>
      <c r="C54" s="41" t="s">
        <v>79</v>
      </c>
      <c r="D54" s="42" t="s">
        <v>82</v>
      </c>
      <c r="E54" s="42" t="s">
        <v>80</v>
      </c>
    </row>
    <row r="55" spans="1:5" ht="37.5" x14ac:dyDescent="0.35">
      <c r="A55" s="22" t="s">
        <v>182</v>
      </c>
      <c r="B55" s="32" t="s">
        <v>102</v>
      </c>
      <c r="C55" s="31">
        <f>'Оценка коллег'!AV28</f>
        <v>1</v>
      </c>
      <c r="D55" s="40">
        <f>'Оценка коллег'!AV29</f>
        <v>0</v>
      </c>
      <c r="E55" s="40">
        <f>'Оценка коллег'!AV30</f>
        <v>0</v>
      </c>
    </row>
    <row r="56" spans="1:5" ht="24" x14ac:dyDescent="0.35">
      <c r="A56" s="22" t="s">
        <v>183</v>
      </c>
      <c r="B56" s="32" t="s">
        <v>102</v>
      </c>
      <c r="C56" s="31">
        <f>'Оценка коллег'!AW28</f>
        <v>1</v>
      </c>
      <c r="D56" s="40">
        <f>'Оценка коллег'!AW29</f>
        <v>0</v>
      </c>
      <c r="E56" s="40">
        <f>'Оценка коллег'!AW30</f>
        <v>0</v>
      </c>
    </row>
    <row r="57" spans="1:5" ht="37.5" x14ac:dyDescent="0.35">
      <c r="A57" s="22" t="s">
        <v>184</v>
      </c>
      <c r="B57" s="32" t="s">
        <v>102</v>
      </c>
      <c r="C57" s="31">
        <f>'Оценка коллег'!AX28</f>
        <v>1</v>
      </c>
      <c r="D57" s="40">
        <f>'Оценка коллег'!AX29</f>
        <v>0</v>
      </c>
      <c r="E57" s="40">
        <f>'Оценка коллег'!AX30</f>
        <v>0</v>
      </c>
    </row>
    <row r="58" spans="1:5" ht="37.5" x14ac:dyDescent="0.35">
      <c r="A58" s="22" t="s">
        <v>185</v>
      </c>
      <c r="B58" s="32" t="s">
        <v>102</v>
      </c>
      <c r="C58" s="31">
        <f>'Оценка коллег'!AY28</f>
        <v>1</v>
      </c>
      <c r="D58" s="40">
        <f>'Оценка коллег'!AY29</f>
        <v>0</v>
      </c>
      <c r="E58" s="40">
        <f>'Оценка коллег'!AY30</f>
        <v>0</v>
      </c>
    </row>
    <row r="59" spans="1:5" ht="37.5" x14ac:dyDescent="0.35">
      <c r="A59" s="22" t="s">
        <v>186</v>
      </c>
      <c r="B59" s="32" t="s">
        <v>102</v>
      </c>
      <c r="C59" s="31">
        <f>'Оценка коллег'!AZ28</f>
        <v>1</v>
      </c>
      <c r="D59" s="40">
        <f>'Оценка коллег'!AZ29</f>
        <v>0</v>
      </c>
      <c r="E59" s="40">
        <f>'Оценка коллег'!AZ30</f>
        <v>0</v>
      </c>
    </row>
    <row r="60" spans="1:5" ht="37.5" x14ac:dyDescent="0.35">
      <c r="A60" s="22" t="s">
        <v>187</v>
      </c>
      <c r="B60" s="32" t="s">
        <v>102</v>
      </c>
      <c r="C60" s="31">
        <f>'Оценка коллег'!BA28</f>
        <v>1</v>
      </c>
      <c r="D60" s="40">
        <f>'Оценка коллег'!BA29</f>
        <v>0</v>
      </c>
      <c r="E60" s="40">
        <f>'Оценка коллег'!BA30</f>
        <v>0</v>
      </c>
    </row>
    <row r="61" spans="1:5" ht="37.5" x14ac:dyDescent="0.35">
      <c r="A61" s="22" t="s">
        <v>188</v>
      </c>
      <c r="B61" s="32" t="s">
        <v>102</v>
      </c>
      <c r="C61" s="31">
        <f>'Оценка коллег'!BB28</f>
        <v>1</v>
      </c>
      <c r="D61" s="40">
        <f>'Оценка коллег'!BB29</f>
        <v>0</v>
      </c>
      <c r="E61" s="40">
        <f>'Оценка коллег'!BB30</f>
        <v>0</v>
      </c>
    </row>
    <row r="62" spans="1:5" ht="37.5" x14ac:dyDescent="0.35">
      <c r="A62" s="22" t="s">
        <v>189</v>
      </c>
      <c r="B62" s="32" t="s">
        <v>102</v>
      </c>
      <c r="C62" s="31">
        <f>'Оценка коллег'!BC28</f>
        <v>0.83333333333333337</v>
      </c>
      <c r="D62" s="40">
        <f>'Оценка коллег'!BC29</f>
        <v>0</v>
      </c>
      <c r="E62" s="40">
        <f>'Оценка коллег'!BC30</f>
        <v>0.16666666666666666</v>
      </c>
    </row>
    <row r="63" spans="1:5" ht="37.5" x14ac:dyDescent="0.35">
      <c r="A63" s="22" t="s">
        <v>190</v>
      </c>
      <c r="B63" s="32" t="s">
        <v>102</v>
      </c>
      <c r="C63" s="31">
        <f>'Оценка коллег'!BD28</f>
        <v>1</v>
      </c>
      <c r="D63" s="40">
        <f>'Оценка коллег'!BD29</f>
        <v>0</v>
      </c>
      <c r="E63" s="40">
        <f>'Оценка коллег'!BD30</f>
        <v>0</v>
      </c>
    </row>
    <row r="64" spans="1:5" ht="37.5" x14ac:dyDescent="0.35">
      <c r="A64" s="22" t="s">
        <v>191</v>
      </c>
      <c r="B64" s="32" t="s">
        <v>102</v>
      </c>
      <c r="C64" s="31">
        <f>'Оценка коллег'!BE28</f>
        <v>0.66666666666666663</v>
      </c>
      <c r="D64" s="40">
        <f>'Оценка коллег'!BE29</f>
        <v>0</v>
      </c>
      <c r="E64" s="40">
        <f>'Оценка коллег'!BE30</f>
        <v>0.33333333333333331</v>
      </c>
    </row>
    <row r="65" spans="1:5" ht="37.5" x14ac:dyDescent="0.35">
      <c r="A65" s="22" t="s">
        <v>192</v>
      </c>
      <c r="B65" s="32" t="s">
        <v>102</v>
      </c>
      <c r="C65" s="31">
        <f>'Оценка коллег'!BF28</f>
        <v>0.66666666666666663</v>
      </c>
      <c r="D65" s="40">
        <f>'Оценка коллег'!BF29</f>
        <v>0</v>
      </c>
      <c r="E65" s="40">
        <f>'Оценка коллег'!BF30</f>
        <v>0.33333333333333331</v>
      </c>
    </row>
    <row r="66" spans="1:5" ht="37.5" x14ac:dyDescent="0.35">
      <c r="A66" s="22" t="s">
        <v>193</v>
      </c>
      <c r="B66" s="32" t="s">
        <v>102</v>
      </c>
      <c r="C66" s="31">
        <f>'Оценка коллег'!BG28</f>
        <v>0.83333333333333337</v>
      </c>
      <c r="D66" s="40">
        <f>'Оценка коллег'!BG29</f>
        <v>0</v>
      </c>
      <c r="E66" s="40">
        <f>'Оценка коллег'!BG30</f>
        <v>0.16666666666666666</v>
      </c>
    </row>
    <row r="67" spans="1:5" ht="37.5" x14ac:dyDescent="0.35">
      <c r="A67" s="22" t="s">
        <v>194</v>
      </c>
      <c r="B67" s="32" t="s">
        <v>102</v>
      </c>
      <c r="C67" s="31">
        <f>'Оценка коллег'!BH28</f>
        <v>1</v>
      </c>
      <c r="D67" s="40">
        <f>'Оценка коллег'!BH29</f>
        <v>0</v>
      </c>
      <c r="E67" s="40">
        <f>'Оценка коллег'!BH30</f>
        <v>0</v>
      </c>
    </row>
    <row r="68" spans="1:5" ht="75" x14ac:dyDescent="0.35">
      <c r="A68" s="22" t="s">
        <v>244</v>
      </c>
      <c r="B68" s="32"/>
      <c r="C68" s="31">
        <f>'Оценка коллег'!BI28</f>
        <v>0.83333333333333337</v>
      </c>
      <c r="D68" s="40">
        <f>'Оценка коллег'!BI29</f>
        <v>0</v>
      </c>
      <c r="E68" s="40">
        <f>'Оценка коллег'!BI30</f>
        <v>0.16666666666666666</v>
      </c>
    </row>
    <row r="69" spans="1:5" ht="75" x14ac:dyDescent="0.35">
      <c r="A69" s="22" t="s">
        <v>245</v>
      </c>
      <c r="B69" s="32" t="s">
        <v>102</v>
      </c>
      <c r="C69" s="31">
        <f>'Оценка коллег'!BJ28</f>
        <v>0.66666666666666663</v>
      </c>
      <c r="D69" s="40">
        <f>'Оценка коллег'!BJ29</f>
        <v>0</v>
      </c>
      <c r="E69" s="40">
        <f>'Оценка коллег'!BJ30</f>
        <v>0.33333333333333331</v>
      </c>
    </row>
    <row r="70" spans="1:5" ht="39" customHeight="1" x14ac:dyDescent="0.35">
      <c r="A70" s="22" t="s">
        <v>246</v>
      </c>
      <c r="B70" s="32"/>
      <c r="C70" s="31">
        <f>'Оценка коллег'!BK28</f>
        <v>0.66666666666666663</v>
      </c>
      <c r="D70" s="40">
        <f>'Оценка коллег'!BK29</f>
        <v>0</v>
      </c>
      <c r="E70" s="40">
        <f>'Оценка коллег'!BK30</f>
        <v>0.33333333333333331</v>
      </c>
    </row>
    <row r="71" spans="1:5" ht="26.45" customHeight="1" x14ac:dyDescent="0.35">
      <c r="A71" s="29" t="s">
        <v>391</v>
      </c>
      <c r="B71" s="30"/>
      <c r="C71" s="39"/>
      <c r="D71" s="39"/>
      <c r="E71" s="39"/>
    </row>
    <row r="73" spans="1:5" ht="33" customHeight="1" x14ac:dyDescent="0.35">
      <c r="A73" s="41" t="s">
        <v>207</v>
      </c>
      <c r="B73" s="41" t="s">
        <v>8</v>
      </c>
      <c r="C73" s="41" t="s">
        <v>79</v>
      </c>
      <c r="D73" s="42" t="s">
        <v>82</v>
      </c>
      <c r="E73" s="42" t="s">
        <v>80</v>
      </c>
    </row>
    <row r="74" spans="1:5" ht="56.25" x14ac:dyDescent="0.35">
      <c r="A74" s="22" t="s">
        <v>208</v>
      </c>
      <c r="B74" s="32" t="s">
        <v>102</v>
      </c>
      <c r="C74" s="31">
        <f>'Оценка коллег'!CA28</f>
        <v>0.66666666666666663</v>
      </c>
      <c r="D74" s="40">
        <f>'Оценка коллег'!CA29</f>
        <v>0</v>
      </c>
      <c r="E74" s="40">
        <f>'Оценка коллег'!CA30</f>
        <v>0.33333333333333331</v>
      </c>
    </row>
    <row r="75" spans="1:5" ht="37.5" x14ac:dyDescent="0.35">
      <c r="A75" s="22" t="s">
        <v>209</v>
      </c>
      <c r="B75" s="32" t="s">
        <v>102</v>
      </c>
      <c r="C75" s="31">
        <f>'Оценка коллег'!CB28</f>
        <v>1</v>
      </c>
      <c r="D75" s="40">
        <f>'Оценка коллег'!CB29</f>
        <v>0</v>
      </c>
      <c r="E75" s="40">
        <f>'Оценка коллег'!CB30</f>
        <v>0</v>
      </c>
    </row>
    <row r="76" spans="1:5" ht="75" x14ac:dyDescent="0.35">
      <c r="A76" s="22" t="s">
        <v>210</v>
      </c>
      <c r="B76" s="32" t="s">
        <v>102</v>
      </c>
      <c r="C76" s="31">
        <f>'Оценка коллег'!CC28</f>
        <v>0.83333333333333337</v>
      </c>
      <c r="D76" s="40">
        <f>'Оценка коллег'!CC29</f>
        <v>0</v>
      </c>
      <c r="E76" s="40">
        <f>'Оценка коллег'!CC30</f>
        <v>0.16666666666666666</v>
      </c>
    </row>
    <row r="77" spans="1:5" ht="37.5" x14ac:dyDescent="0.35">
      <c r="A77" s="22" t="s">
        <v>211</v>
      </c>
      <c r="B77" s="32" t="s">
        <v>102</v>
      </c>
      <c r="C77" s="31">
        <f>'Оценка коллег'!CD28</f>
        <v>0.83333333333333337</v>
      </c>
      <c r="D77" s="40">
        <f>'Оценка коллег'!CD29</f>
        <v>0</v>
      </c>
      <c r="E77" s="40">
        <f>'Оценка коллег'!CD30</f>
        <v>0.16666666666666666</v>
      </c>
    </row>
    <row r="78" spans="1:5" ht="37.5" x14ac:dyDescent="0.35">
      <c r="A78" s="22" t="s">
        <v>212</v>
      </c>
      <c r="B78" s="32" t="s">
        <v>102</v>
      </c>
      <c r="C78" s="31">
        <f>'Оценка коллег'!CE28</f>
        <v>1</v>
      </c>
      <c r="D78" s="40">
        <f>'Оценка коллег'!CE29</f>
        <v>0</v>
      </c>
      <c r="E78" s="40">
        <f>'Оценка коллег'!CE30</f>
        <v>0</v>
      </c>
    </row>
    <row r="79" spans="1:5" ht="37.5" x14ac:dyDescent="0.35">
      <c r="A79" s="22" t="s">
        <v>213</v>
      </c>
      <c r="B79" s="32" t="s">
        <v>102</v>
      </c>
      <c r="C79" s="31">
        <f>'Оценка коллег'!CF28</f>
        <v>0.83333333333333337</v>
      </c>
      <c r="D79" s="40">
        <f>'Оценка коллег'!CF29</f>
        <v>0</v>
      </c>
      <c r="E79" s="40">
        <f>'Оценка коллег'!CF30</f>
        <v>0.16666666666666666</v>
      </c>
    </row>
    <row r="80" spans="1:5" ht="56.25" x14ac:dyDescent="0.35">
      <c r="A80" s="22" t="s">
        <v>214</v>
      </c>
      <c r="B80" s="32" t="s">
        <v>102</v>
      </c>
      <c r="C80" s="31">
        <f>'Оценка коллег'!CG28</f>
        <v>0.83333333333333337</v>
      </c>
      <c r="D80" s="40">
        <f>'Оценка коллег'!CG29</f>
        <v>0</v>
      </c>
      <c r="E80" s="40">
        <f>'Оценка коллег'!CG30</f>
        <v>0.16666666666666666</v>
      </c>
    </row>
    <row r="81" spans="1:5" ht="37.5" x14ac:dyDescent="0.35">
      <c r="A81" s="22" t="s">
        <v>215</v>
      </c>
      <c r="B81" s="32" t="s">
        <v>102</v>
      </c>
      <c r="C81" s="31">
        <f>'Оценка коллег'!CH28</f>
        <v>0.83333333333333337</v>
      </c>
      <c r="D81" s="40">
        <f>'Оценка коллег'!CH29</f>
        <v>0</v>
      </c>
      <c r="E81" s="40">
        <f>'Оценка коллег'!CH30</f>
        <v>0.16666666666666666</v>
      </c>
    </row>
    <row r="82" spans="1:5" ht="37.5" x14ac:dyDescent="0.35">
      <c r="A82" s="22" t="s">
        <v>216</v>
      </c>
      <c r="B82" s="32" t="s">
        <v>102</v>
      </c>
      <c r="C82" s="31">
        <f>'Оценка коллег'!CI28</f>
        <v>0.66666666666666663</v>
      </c>
      <c r="D82" s="40">
        <f>'Оценка коллег'!CI29</f>
        <v>0</v>
      </c>
      <c r="E82" s="40">
        <f>'Оценка коллег'!CI30</f>
        <v>0.33333333333333331</v>
      </c>
    </row>
    <row r="83" spans="1:5" ht="37.5" x14ac:dyDescent="0.35">
      <c r="A83" s="22" t="s">
        <v>217</v>
      </c>
      <c r="B83" s="32" t="s">
        <v>102</v>
      </c>
      <c r="C83" s="31">
        <f>'Оценка коллег'!CJ28</f>
        <v>0.66666666666666663</v>
      </c>
      <c r="D83" s="40">
        <f>'Оценка коллег'!CJ29</f>
        <v>0</v>
      </c>
      <c r="E83" s="40">
        <f>'Оценка коллег'!CJ30</f>
        <v>0.33333333333333331</v>
      </c>
    </row>
    <row r="84" spans="1:5" ht="56.25" x14ac:dyDescent="0.35">
      <c r="A84" s="22" t="s">
        <v>232</v>
      </c>
      <c r="B84" s="32" t="s">
        <v>102</v>
      </c>
      <c r="C84" s="31">
        <f>'Оценка коллег'!CK28</f>
        <v>0.83333333333333337</v>
      </c>
      <c r="D84" s="40">
        <f>'Оценка коллег'!CK29</f>
        <v>0</v>
      </c>
      <c r="E84" s="40">
        <f>'Оценка коллег'!CK30</f>
        <v>0.16666666666666666</v>
      </c>
    </row>
    <row r="85" spans="1:5" ht="39.6" customHeight="1" x14ac:dyDescent="0.35">
      <c r="A85" s="29" t="s">
        <v>444</v>
      </c>
      <c r="B85" s="30"/>
      <c r="C85" s="39"/>
      <c r="D85" s="39"/>
      <c r="E85" s="39"/>
    </row>
    <row r="87" spans="1:5" ht="31.5" customHeight="1" x14ac:dyDescent="0.35">
      <c r="A87" s="41" t="s">
        <v>195</v>
      </c>
      <c r="B87" s="41" t="s">
        <v>8</v>
      </c>
      <c r="C87" s="41" t="s">
        <v>79</v>
      </c>
      <c r="D87" s="42" t="s">
        <v>82</v>
      </c>
      <c r="E87" s="42" t="s">
        <v>80</v>
      </c>
    </row>
    <row r="88" spans="1:5" ht="56.25" x14ac:dyDescent="0.35">
      <c r="A88" s="22" t="s">
        <v>196</v>
      </c>
      <c r="B88" s="32" t="s">
        <v>102</v>
      </c>
      <c r="C88" s="31">
        <f>'Оценка коллег'!BM28</f>
        <v>1</v>
      </c>
      <c r="D88" s="40">
        <f>'Оценка коллег'!BM29</f>
        <v>0</v>
      </c>
      <c r="E88" s="40">
        <f>'Оценка коллег'!BM30</f>
        <v>0</v>
      </c>
    </row>
    <row r="89" spans="1:5" ht="37.5" x14ac:dyDescent="0.35">
      <c r="A89" s="22" t="s">
        <v>197</v>
      </c>
      <c r="B89" s="32" t="s">
        <v>102</v>
      </c>
      <c r="C89" s="31">
        <f>'Оценка коллег'!BN28</f>
        <v>1</v>
      </c>
      <c r="D89" s="40">
        <f>'Оценка коллег'!BN29</f>
        <v>0</v>
      </c>
      <c r="E89" s="40">
        <f>'Оценка коллег'!BN30</f>
        <v>0</v>
      </c>
    </row>
    <row r="90" spans="1:5" ht="37.5" x14ac:dyDescent="0.35">
      <c r="A90" s="22" t="s">
        <v>198</v>
      </c>
      <c r="B90" s="32" t="s">
        <v>102</v>
      </c>
      <c r="C90" s="31">
        <f>'Оценка коллег'!BO28</f>
        <v>0.5</v>
      </c>
      <c r="D90" s="40">
        <f>'Оценка коллег'!BO29</f>
        <v>0</v>
      </c>
      <c r="E90" s="40">
        <f>'Оценка коллег'!BO30</f>
        <v>0.5</v>
      </c>
    </row>
    <row r="91" spans="1:5" ht="24" x14ac:dyDescent="0.35">
      <c r="A91" s="22" t="s">
        <v>199</v>
      </c>
      <c r="B91" s="32" t="s">
        <v>102</v>
      </c>
      <c r="C91" s="31">
        <f>'Оценка коллег'!BP28</f>
        <v>0.83333333333333337</v>
      </c>
      <c r="D91" s="40">
        <f>'Оценка коллег'!BP29</f>
        <v>0</v>
      </c>
      <c r="E91" s="40">
        <f>'Оценка коллег'!BP30</f>
        <v>0.16666666666666666</v>
      </c>
    </row>
    <row r="92" spans="1:5" ht="37.5" x14ac:dyDescent="0.35">
      <c r="A92" s="22" t="s">
        <v>200</v>
      </c>
      <c r="B92" s="32" t="s">
        <v>102</v>
      </c>
      <c r="C92" s="31">
        <f>'Оценка коллег'!BQ28</f>
        <v>0.83333333333333337</v>
      </c>
      <c r="D92" s="40">
        <f>'Оценка коллег'!BQ29</f>
        <v>0</v>
      </c>
      <c r="E92" s="40">
        <f>'Оценка коллег'!BQ30</f>
        <v>0.16666666666666666</v>
      </c>
    </row>
    <row r="93" spans="1:5" ht="75" x14ac:dyDescent="0.35">
      <c r="A93" s="22" t="s">
        <v>201</v>
      </c>
      <c r="B93" s="32" t="s">
        <v>102</v>
      </c>
      <c r="C93" s="31">
        <f>'Оценка коллег'!BR28</f>
        <v>0.83333333333333337</v>
      </c>
      <c r="D93" s="40">
        <f>'Оценка коллег'!BR29</f>
        <v>0</v>
      </c>
      <c r="E93" s="40">
        <f>'Оценка коллег'!BR30</f>
        <v>0.16666666666666666</v>
      </c>
    </row>
    <row r="94" spans="1:5" ht="37.5" x14ac:dyDescent="0.35">
      <c r="A94" s="19" t="s">
        <v>442</v>
      </c>
      <c r="B94" s="20"/>
      <c r="C94" s="38"/>
      <c r="D94" s="38"/>
      <c r="E94" s="38"/>
    </row>
    <row r="96" spans="1:5" ht="30.6" customHeight="1" x14ac:dyDescent="0.35">
      <c r="A96" s="41" t="s">
        <v>218</v>
      </c>
      <c r="B96" s="41" t="s">
        <v>8</v>
      </c>
      <c r="C96" s="41" t="s">
        <v>79</v>
      </c>
      <c r="D96" s="42" t="s">
        <v>82</v>
      </c>
      <c r="E96" s="42" t="s">
        <v>80</v>
      </c>
    </row>
    <row r="97" spans="1:5" ht="30.6" customHeight="1" x14ac:dyDescent="0.35">
      <c r="A97" s="22" t="s">
        <v>256</v>
      </c>
      <c r="B97" s="32" t="s">
        <v>102</v>
      </c>
      <c r="C97" s="40">
        <f>'Оценка коллег'!CM28</f>
        <v>0.5</v>
      </c>
      <c r="D97" s="40">
        <f>'Оценка коллег'!CM29</f>
        <v>0</v>
      </c>
      <c r="E97" s="40">
        <f>'Оценка коллег'!CM30</f>
        <v>0.5</v>
      </c>
    </row>
    <row r="98" spans="1:5" ht="56.25" x14ac:dyDescent="0.35">
      <c r="A98" s="22" t="s">
        <v>257</v>
      </c>
      <c r="B98" s="32" t="s">
        <v>102</v>
      </c>
      <c r="C98" s="40">
        <f>'Оценка коллег'!CN28</f>
        <v>0.33333333333333331</v>
      </c>
      <c r="D98" s="40">
        <f>'Оценка коллег'!CN29</f>
        <v>0</v>
      </c>
      <c r="E98" s="40">
        <f>'Оценка коллег'!CN30</f>
        <v>0.66666666666666663</v>
      </c>
    </row>
    <row r="99" spans="1:5" ht="93.75" x14ac:dyDescent="0.35">
      <c r="A99" s="22" t="s">
        <v>258</v>
      </c>
      <c r="B99" s="32" t="s">
        <v>102</v>
      </c>
      <c r="C99" s="40">
        <f>'Оценка коллег'!CO28</f>
        <v>0.66666666666666663</v>
      </c>
      <c r="D99" s="40">
        <f>'Оценка коллег'!CO29</f>
        <v>0</v>
      </c>
      <c r="E99" s="40">
        <f>'Оценка коллег'!CO30</f>
        <v>0.33333333333333331</v>
      </c>
    </row>
    <row r="100" spans="1:5" ht="54" customHeight="1" x14ac:dyDescent="0.35">
      <c r="A100" s="22" t="s">
        <v>259</v>
      </c>
      <c r="B100" s="32" t="s">
        <v>102</v>
      </c>
      <c r="C100" s="40">
        <f>'Оценка коллег'!CP28</f>
        <v>0.66666666666666663</v>
      </c>
      <c r="D100" s="40">
        <f>'Оценка коллег'!CP29</f>
        <v>0</v>
      </c>
      <c r="E100" s="40">
        <f>'Оценка коллег'!CP30</f>
        <v>0.33333333333333331</v>
      </c>
    </row>
    <row r="101" spans="1:5" ht="59.45" customHeight="1" x14ac:dyDescent="0.35">
      <c r="A101" s="22" t="s">
        <v>260</v>
      </c>
      <c r="B101" s="32" t="s">
        <v>102</v>
      </c>
      <c r="C101" s="40">
        <f>'Оценка коллег'!CQ28</f>
        <v>0.83333333333333337</v>
      </c>
      <c r="D101" s="40">
        <f>'Оценка коллег'!CQ29</f>
        <v>0</v>
      </c>
      <c r="E101" s="40">
        <f>'Оценка коллег'!CQ30</f>
        <v>0.16666666666666666</v>
      </c>
    </row>
    <row r="102" spans="1:5" ht="20.45" customHeight="1" x14ac:dyDescent="0.35">
      <c r="A102" s="19" t="s">
        <v>391</v>
      </c>
      <c r="B102" s="20"/>
      <c r="C102" s="38"/>
      <c r="D102" s="38"/>
      <c r="E102" s="38"/>
    </row>
    <row r="104" spans="1:5" ht="30.6" customHeight="1" x14ac:dyDescent="0.35">
      <c r="A104" s="41" t="s">
        <v>202</v>
      </c>
      <c r="B104" s="41" t="s">
        <v>8</v>
      </c>
      <c r="C104" s="41" t="s">
        <v>79</v>
      </c>
      <c r="D104" s="42" t="s">
        <v>82</v>
      </c>
      <c r="E104" s="42" t="s">
        <v>80</v>
      </c>
    </row>
    <row r="105" spans="1:5" ht="37.5" x14ac:dyDescent="0.35">
      <c r="A105" s="22" t="s">
        <v>203</v>
      </c>
      <c r="B105" s="32" t="s">
        <v>102</v>
      </c>
      <c r="C105" s="40">
        <f>'Оценка коллег'!BT28</f>
        <v>1</v>
      </c>
      <c r="D105" s="40">
        <f>'Оценка коллег'!BT29</f>
        <v>0</v>
      </c>
      <c r="E105" s="40">
        <f>'Оценка коллег'!BT30</f>
        <v>0</v>
      </c>
    </row>
    <row r="106" spans="1:5" ht="37.5" x14ac:dyDescent="0.35">
      <c r="A106" s="22" t="s">
        <v>204</v>
      </c>
      <c r="B106" s="32" t="s">
        <v>102</v>
      </c>
      <c r="C106" s="40">
        <f>'Оценка коллег'!BU28</f>
        <v>0.33333333333333331</v>
      </c>
      <c r="D106" s="40">
        <f>'Оценка коллег'!BU29</f>
        <v>0</v>
      </c>
      <c r="E106" s="40">
        <f>'Оценка коллег'!BU30</f>
        <v>0.66666666666666663</v>
      </c>
    </row>
    <row r="107" spans="1:5" ht="30.6" customHeight="1" x14ac:dyDescent="0.35">
      <c r="A107" s="22" t="s">
        <v>205</v>
      </c>
      <c r="B107" s="32" t="s">
        <v>102</v>
      </c>
      <c r="C107" s="40">
        <f>'Оценка коллег'!BV28</f>
        <v>0.5</v>
      </c>
      <c r="D107" s="40">
        <f>'Оценка коллег'!BV29</f>
        <v>0</v>
      </c>
      <c r="E107" s="40">
        <f>'Оценка коллег'!BV30</f>
        <v>0.5</v>
      </c>
    </row>
    <row r="108" spans="1:5" ht="30.6" customHeight="1" x14ac:dyDescent="0.35">
      <c r="A108" s="22" t="s">
        <v>206</v>
      </c>
      <c r="B108" s="32" t="s">
        <v>102</v>
      </c>
      <c r="C108" s="40">
        <f>'Оценка коллег'!BW28</f>
        <v>0.5</v>
      </c>
      <c r="D108" s="40">
        <f>'Оценка коллег'!BW29</f>
        <v>0</v>
      </c>
      <c r="E108" s="40">
        <f>'Оценка коллег'!BW30</f>
        <v>0.5</v>
      </c>
    </row>
    <row r="109" spans="1:5" ht="30.6" customHeight="1" x14ac:dyDescent="0.35">
      <c r="A109" s="22" t="s">
        <v>239</v>
      </c>
      <c r="B109" s="32" t="s">
        <v>102</v>
      </c>
      <c r="C109" s="40">
        <f>'Оценка коллег'!BX28</f>
        <v>0.33333333333333331</v>
      </c>
      <c r="D109" s="40">
        <f>'Оценка коллег'!BX29</f>
        <v>0</v>
      </c>
      <c r="E109" s="40">
        <f>'Оценка коллег'!BX30</f>
        <v>0.66666666666666663</v>
      </c>
    </row>
    <row r="110" spans="1:5" ht="30.6" customHeight="1" x14ac:dyDescent="0.35">
      <c r="A110" s="22" t="s">
        <v>240</v>
      </c>
      <c r="B110" s="32"/>
      <c r="C110" s="40">
        <f>'Оценка коллег'!BY28</f>
        <v>0.16666666666666666</v>
      </c>
      <c r="D110" s="40">
        <f>'Оценка коллег'!BY29</f>
        <v>0.16666666666666666</v>
      </c>
      <c r="E110" s="40">
        <f>'Оценка коллег'!BY30</f>
        <v>0.66666666666666663</v>
      </c>
    </row>
    <row r="111" spans="1:5" ht="41.1" customHeight="1" x14ac:dyDescent="0.35">
      <c r="A111" s="144" t="s">
        <v>170</v>
      </c>
      <c r="B111" s="20"/>
      <c r="C111" s="38"/>
      <c r="D111" s="38"/>
      <c r="E111" s="38"/>
    </row>
    <row r="112" spans="1:5" ht="35.450000000000003" customHeight="1" x14ac:dyDescent="0.35"/>
    <row r="113" spans="1:5" ht="72" x14ac:dyDescent="0.35">
      <c r="A113" s="41" t="s">
        <v>262</v>
      </c>
      <c r="B113" s="41" t="s">
        <v>8</v>
      </c>
      <c r="C113" s="41" t="s">
        <v>79</v>
      </c>
      <c r="D113" s="42" t="s">
        <v>82</v>
      </c>
      <c r="E113" s="42" t="s">
        <v>80</v>
      </c>
    </row>
    <row r="114" spans="1:5" ht="56.25" x14ac:dyDescent="0.35">
      <c r="A114" s="22" t="s">
        <v>261</v>
      </c>
      <c r="B114" s="32"/>
      <c r="C114" s="40">
        <f>'Оценка коллег'!CS28</f>
        <v>0.33333333333333331</v>
      </c>
      <c r="D114" s="40">
        <f>'Оценка коллег'!CS29</f>
        <v>0</v>
      </c>
      <c r="E114" s="40">
        <f>'Оценка коллег'!CS30</f>
        <v>0.66666666666666663</v>
      </c>
    </row>
    <row r="115" spans="1:5" ht="37.5" x14ac:dyDescent="0.35">
      <c r="A115" s="22" t="s">
        <v>263</v>
      </c>
      <c r="B115" s="32"/>
      <c r="C115" s="40">
        <f>'Оценка коллег'!CT28</f>
        <v>0.16666666666666666</v>
      </c>
      <c r="D115" s="40">
        <f>'Оценка коллег'!CT29</f>
        <v>0</v>
      </c>
      <c r="E115" s="40">
        <f>'Оценка коллег'!CT30</f>
        <v>0.83333333333333337</v>
      </c>
    </row>
    <row r="116" spans="1:5" ht="24" x14ac:dyDescent="0.35">
      <c r="A116" s="22" t="s">
        <v>264</v>
      </c>
      <c r="B116" s="32"/>
      <c r="C116" s="40">
        <f>'Оценка коллег'!CU28</f>
        <v>0.33333333333333331</v>
      </c>
      <c r="D116" s="40">
        <f>'Оценка коллег'!CU29</f>
        <v>0</v>
      </c>
      <c r="E116" s="40">
        <f>'Оценка коллег'!CU30</f>
        <v>0.66666666666666663</v>
      </c>
    </row>
    <row r="117" spans="1:5" ht="42.6" customHeight="1" x14ac:dyDescent="0.35">
      <c r="A117" s="22" t="s">
        <v>265</v>
      </c>
      <c r="B117" s="32"/>
      <c r="C117" s="40">
        <f>'Оценка коллег'!CV28</f>
        <v>0.5</v>
      </c>
      <c r="D117" s="40">
        <f>'Оценка коллег'!CV29</f>
        <v>0</v>
      </c>
      <c r="E117" s="40">
        <f>'Оценка коллег'!CV30</f>
        <v>0.5</v>
      </c>
    </row>
    <row r="118" spans="1:5" ht="37.5" x14ac:dyDescent="0.35">
      <c r="A118" s="19" t="s">
        <v>443</v>
      </c>
      <c r="B118" s="20"/>
      <c r="C118" s="38"/>
      <c r="D118" s="38"/>
      <c r="E118" s="38"/>
    </row>
    <row r="119" spans="1:5" x14ac:dyDescent="0.35">
      <c r="B119" s="155" t="s">
        <v>445</v>
      </c>
      <c r="C119" s="155"/>
      <c r="D119" s="155"/>
    </row>
    <row r="120" spans="1:5" x14ac:dyDescent="0.35">
      <c r="B120" s="3" t="s">
        <v>26</v>
      </c>
    </row>
    <row r="121" spans="1:5" x14ac:dyDescent="0.35">
      <c r="B121" s="28"/>
      <c r="C121" s="3" t="s">
        <v>100</v>
      </c>
    </row>
    <row r="122" spans="1:5" x14ac:dyDescent="0.35">
      <c r="B122" s="43"/>
      <c r="C122" s="3" t="s">
        <v>101</v>
      </c>
    </row>
    <row r="124" spans="1:5" ht="72" x14ac:dyDescent="0.35">
      <c r="A124" s="41" t="s">
        <v>52</v>
      </c>
      <c r="B124" s="41" t="s">
        <v>8</v>
      </c>
      <c r="C124" s="41" t="s">
        <v>79</v>
      </c>
      <c r="D124" s="42" t="s">
        <v>82</v>
      </c>
      <c r="E124" s="42" t="s">
        <v>80</v>
      </c>
    </row>
    <row r="125" spans="1:5" ht="37.5" x14ac:dyDescent="0.35">
      <c r="A125" s="22" t="s">
        <v>83</v>
      </c>
      <c r="B125" s="32" t="s">
        <v>102</v>
      </c>
      <c r="C125" s="31">
        <f>'Оценка коллег'!G28</f>
        <v>0</v>
      </c>
      <c r="D125" s="40">
        <f>'Оценка коллег'!G29</f>
        <v>0</v>
      </c>
      <c r="E125" s="40">
        <f>'Оценка коллег'!G30</f>
        <v>0</v>
      </c>
    </row>
    <row r="126" spans="1:5" ht="37.5" x14ac:dyDescent="0.35">
      <c r="A126" s="22" t="s">
        <v>84</v>
      </c>
      <c r="B126" s="32" t="s">
        <v>102</v>
      </c>
      <c r="C126" s="31">
        <f>'Оценка коллег'!H28</f>
        <v>0</v>
      </c>
      <c r="D126" s="40">
        <f>'Оценка коллег'!H29</f>
        <v>0</v>
      </c>
      <c r="E126" s="40">
        <f>'Оценка коллег'!H30</f>
        <v>0</v>
      </c>
    </row>
    <row r="127" spans="1:5" ht="37.5" x14ac:dyDescent="0.35">
      <c r="A127" s="22" t="s">
        <v>85</v>
      </c>
      <c r="B127" s="32" t="s">
        <v>102</v>
      </c>
      <c r="C127" s="31">
        <f>'Оценка коллег'!I28</f>
        <v>0</v>
      </c>
      <c r="D127" s="40">
        <f>'Оценка коллег'!I29</f>
        <v>0</v>
      </c>
      <c r="E127" s="40">
        <f>'Оценка коллег'!I30</f>
        <v>0</v>
      </c>
    </row>
    <row r="128" spans="1:5" ht="37.5" x14ac:dyDescent="0.35">
      <c r="A128" s="22" t="s">
        <v>86</v>
      </c>
      <c r="B128" s="32" t="s">
        <v>102</v>
      </c>
      <c r="C128" s="31">
        <f>'Оценка коллег'!J28</f>
        <v>0</v>
      </c>
      <c r="D128" s="40">
        <f>'Оценка коллег'!J29</f>
        <v>0</v>
      </c>
      <c r="E128" s="40">
        <f>'Оценка коллег'!J30</f>
        <v>0</v>
      </c>
    </row>
    <row r="129" spans="1:5" ht="24" x14ac:dyDescent="0.35">
      <c r="A129" s="22" t="s">
        <v>87</v>
      </c>
      <c r="B129" s="32" t="s">
        <v>102</v>
      </c>
      <c r="C129" s="31">
        <f>'Оценка коллег'!K28</f>
        <v>0</v>
      </c>
      <c r="D129" s="40">
        <f>'Оценка коллег'!K29</f>
        <v>0</v>
      </c>
      <c r="E129" s="40">
        <f>'Оценка коллег'!K30</f>
        <v>0</v>
      </c>
    </row>
    <row r="130" spans="1:5" ht="31.5" customHeight="1" x14ac:dyDescent="0.35">
      <c r="A130" s="22" t="s">
        <v>88</v>
      </c>
      <c r="B130" s="32" t="s">
        <v>102</v>
      </c>
      <c r="C130" s="31">
        <f>'Оценка коллег'!L28</f>
        <v>0</v>
      </c>
      <c r="D130" s="40">
        <f>'Оценка коллег'!L29</f>
        <v>0</v>
      </c>
      <c r="E130" s="40">
        <f>'Оценка коллег'!L30</f>
        <v>0</v>
      </c>
    </row>
    <row r="131" spans="1:5" ht="56.25" x14ac:dyDescent="0.35">
      <c r="A131" s="22" t="s">
        <v>89</v>
      </c>
      <c r="B131" s="32" t="s">
        <v>102</v>
      </c>
      <c r="C131" s="31">
        <f>'Оценка коллег'!M28</f>
        <v>0</v>
      </c>
      <c r="D131" s="40">
        <f>'Оценка коллег'!M29</f>
        <v>0</v>
      </c>
      <c r="E131" s="40">
        <f>'Оценка коллег'!M30</f>
        <v>0</v>
      </c>
    </row>
    <row r="132" spans="1:5" ht="37.5" x14ac:dyDescent="0.35">
      <c r="A132" s="22" t="s">
        <v>90</v>
      </c>
      <c r="B132" s="32" t="s">
        <v>102</v>
      </c>
      <c r="C132" s="31">
        <f>'Оценка коллег'!N28</f>
        <v>0</v>
      </c>
      <c r="D132" s="40">
        <f>'Оценка коллег'!N29</f>
        <v>0</v>
      </c>
      <c r="E132" s="40">
        <f>'Оценка коллег'!N30</f>
        <v>0</v>
      </c>
    </row>
    <row r="133" spans="1:5" ht="24" x14ac:dyDescent="0.35">
      <c r="A133" s="22" t="s">
        <v>91</v>
      </c>
      <c r="B133" s="32"/>
      <c r="C133" s="31">
        <f>'Оценка коллег'!O28</f>
        <v>0</v>
      </c>
      <c r="D133" s="40">
        <f>'Оценка коллег'!O29</f>
        <v>0</v>
      </c>
      <c r="E133" s="40">
        <f>'Оценка коллег'!O30</f>
        <v>0</v>
      </c>
    </row>
    <row r="134" spans="1:5" ht="37.5" x14ac:dyDescent="0.35">
      <c r="A134" s="22" t="s">
        <v>92</v>
      </c>
      <c r="B134" s="32"/>
      <c r="C134" s="31">
        <f>'Оценка коллег'!P28</f>
        <v>0</v>
      </c>
      <c r="D134" s="40">
        <f>'Оценка коллег'!P29</f>
        <v>0</v>
      </c>
      <c r="E134" s="40">
        <f>'Оценка коллег'!P30</f>
        <v>0</v>
      </c>
    </row>
    <row r="135" spans="1:5" ht="18.75" x14ac:dyDescent="0.35">
      <c r="A135" s="29" t="s">
        <v>28</v>
      </c>
      <c r="B135" s="30"/>
      <c r="C135" s="39"/>
      <c r="D135" s="39"/>
      <c r="E135" s="39"/>
    </row>
    <row r="138" spans="1:5" ht="72" x14ac:dyDescent="0.35">
      <c r="A138" s="41" t="s">
        <v>53</v>
      </c>
      <c r="B138" s="41" t="s">
        <v>8</v>
      </c>
      <c r="C138" s="41" t="s">
        <v>79</v>
      </c>
      <c r="D138" s="42" t="s">
        <v>82</v>
      </c>
      <c r="E138" s="42" t="s">
        <v>80</v>
      </c>
    </row>
    <row r="139" spans="1:5" ht="37.5" x14ac:dyDescent="0.35">
      <c r="A139" s="22" t="s">
        <v>93</v>
      </c>
      <c r="B139" s="32" t="s">
        <v>102</v>
      </c>
      <c r="C139" s="31">
        <f>'Оценка коллег'!R28</f>
        <v>0</v>
      </c>
      <c r="D139" s="40">
        <f>'Оценка коллег'!R29</f>
        <v>0</v>
      </c>
      <c r="E139" s="40">
        <f>'Оценка коллег'!R30</f>
        <v>0</v>
      </c>
    </row>
    <row r="140" spans="1:5" ht="56.25" x14ac:dyDescent="0.35">
      <c r="A140" s="22" t="s">
        <v>94</v>
      </c>
      <c r="B140" s="32" t="s">
        <v>102</v>
      </c>
      <c r="C140" s="31">
        <f>'Оценка коллег'!S28</f>
        <v>0</v>
      </c>
      <c r="D140" s="40">
        <f>'Оценка коллег'!S29</f>
        <v>0</v>
      </c>
      <c r="E140" s="40">
        <f>'Оценка коллег'!S30</f>
        <v>0</v>
      </c>
    </row>
    <row r="141" spans="1:5" ht="37.5" x14ac:dyDescent="0.35">
      <c r="A141" s="22" t="s">
        <v>95</v>
      </c>
      <c r="B141" s="32" t="s">
        <v>102</v>
      </c>
      <c r="C141" s="31">
        <f>'Оценка коллег'!T28</f>
        <v>0</v>
      </c>
      <c r="D141" s="40">
        <f>'Оценка коллег'!T29</f>
        <v>0</v>
      </c>
      <c r="E141" s="40">
        <f>'Оценка коллег'!T30</f>
        <v>0</v>
      </c>
    </row>
    <row r="142" spans="1:5" ht="24" x14ac:dyDescent="0.35">
      <c r="A142" s="22" t="s">
        <v>96</v>
      </c>
      <c r="B142" s="32" t="s">
        <v>102</v>
      </c>
      <c r="C142" s="31">
        <f>'Оценка коллег'!U28</f>
        <v>0</v>
      </c>
      <c r="D142" s="40">
        <f>'Оценка коллег'!U29</f>
        <v>0</v>
      </c>
      <c r="E142" s="40">
        <f>'Оценка коллег'!U30</f>
        <v>0</v>
      </c>
    </row>
    <row r="143" spans="1:5" ht="37.5" x14ac:dyDescent="0.35">
      <c r="A143" s="22" t="s">
        <v>97</v>
      </c>
      <c r="B143" s="32" t="s">
        <v>102</v>
      </c>
      <c r="C143" s="31">
        <f>'Оценка коллег'!V28</f>
        <v>0</v>
      </c>
      <c r="D143" s="40">
        <f>'Оценка коллег'!V29</f>
        <v>0</v>
      </c>
      <c r="E143" s="40">
        <f>'Оценка коллег'!V30</f>
        <v>0</v>
      </c>
    </row>
    <row r="144" spans="1:5" ht="24" x14ac:dyDescent="0.35">
      <c r="A144" s="22" t="s">
        <v>98</v>
      </c>
      <c r="B144" s="32" t="s">
        <v>102</v>
      </c>
      <c r="C144" s="31">
        <f>'Оценка коллег'!W28</f>
        <v>0</v>
      </c>
      <c r="D144" s="40">
        <f>'Оценка коллег'!W29</f>
        <v>0</v>
      </c>
      <c r="E144" s="40">
        <f>'Оценка коллег'!W30</f>
        <v>0</v>
      </c>
    </row>
    <row r="145" spans="1:5" ht="24" x14ac:dyDescent="0.35">
      <c r="A145" s="22" t="s">
        <v>99</v>
      </c>
      <c r="B145" s="32"/>
      <c r="C145" s="31">
        <f>'Оценка коллег'!X28</f>
        <v>0</v>
      </c>
      <c r="D145" s="40">
        <f>'Оценка коллег'!X29</f>
        <v>0</v>
      </c>
      <c r="E145" s="40">
        <f>'Оценка коллег'!X30</f>
        <v>0</v>
      </c>
    </row>
    <row r="146" spans="1:5" ht="18.75" x14ac:dyDescent="0.35">
      <c r="A146" s="29" t="s">
        <v>28</v>
      </c>
      <c r="B146" s="30"/>
      <c r="C146" s="39"/>
      <c r="D146" s="39"/>
      <c r="E146" s="39"/>
    </row>
    <row r="150" spans="1:5" x14ac:dyDescent="0.35">
      <c r="B150" s="155" t="s">
        <v>389</v>
      </c>
      <c r="C150" s="155"/>
      <c r="D150" s="155"/>
    </row>
    <row r="151" spans="1:5" x14ac:dyDescent="0.35">
      <c r="B151" s="3" t="s">
        <v>26</v>
      </c>
    </row>
    <row r="152" spans="1:5" x14ac:dyDescent="0.35">
      <c r="B152" s="28"/>
      <c r="C152" s="3" t="s">
        <v>100</v>
      </c>
    </row>
    <row r="153" spans="1:5" x14ac:dyDescent="0.35">
      <c r="B153" s="43"/>
      <c r="C153" s="3" t="s">
        <v>101</v>
      </c>
    </row>
  </sheetData>
  <mergeCells count="2">
    <mergeCell ref="B119:D119"/>
    <mergeCell ref="B150:D150"/>
  </mergeCells>
  <conditionalFormatting sqref="C25:C33 C88:C93 C125:C134 C139:C145">
    <cfRule type="cellIs" dxfId="489" priority="197" operator="lessThan">
      <formula>0.6</formula>
    </cfRule>
    <cfRule type="cellIs" dxfId="488" priority="196" operator="between">
      <formula>0.49</formula>
      <formula>0.59</formula>
    </cfRule>
  </conditionalFormatting>
  <conditionalFormatting sqref="C25:C33 C88:C93">
    <cfRule type="cellIs" dxfId="487" priority="235" operator="greaterThanOrEqual">
      <formula>0.8</formula>
    </cfRule>
    <cfRule type="cellIs" dxfId="486" priority="234" operator="between">
      <formula>0.6</formula>
      <formula>0.79</formula>
    </cfRule>
    <cfRule type="cellIs" dxfId="485" priority="204" operator="lessThan">
      <formula>0.6</formula>
    </cfRule>
  </conditionalFormatting>
  <conditionalFormatting sqref="C40:C50">
    <cfRule type="cellIs" dxfId="484" priority="71" operator="between">
      <formula>0.49</formula>
      <formula>0.59</formula>
    </cfRule>
    <cfRule type="cellIs" dxfId="483" priority="72" operator="lessThan">
      <formula>0.6</formula>
    </cfRule>
    <cfRule type="cellIs" dxfId="482" priority="73" operator="lessThan">
      <formula>0.6</formula>
    </cfRule>
    <cfRule type="cellIs" dxfId="481" priority="74" operator="between">
      <formula>0.6</formula>
      <formula>0.79</formula>
    </cfRule>
    <cfRule type="cellIs" dxfId="480" priority="75" operator="greaterThanOrEqual">
      <formula>0.8</formula>
    </cfRule>
  </conditionalFormatting>
  <conditionalFormatting sqref="C55:C70">
    <cfRule type="cellIs" dxfId="479" priority="91" operator="greaterThanOrEqual">
      <formula>0.8</formula>
    </cfRule>
    <cfRule type="cellIs" dxfId="478" priority="86" operator="between">
      <formula>0.49</formula>
      <formula>0.59</formula>
    </cfRule>
    <cfRule type="cellIs" dxfId="477" priority="87" operator="lessThan">
      <formula>0.6</formula>
    </cfRule>
    <cfRule type="cellIs" dxfId="476" priority="88" operator="lessThan">
      <formula>0.6</formula>
    </cfRule>
    <cfRule type="cellIs" dxfId="475" priority="90" operator="between">
      <formula>0.6</formula>
      <formula>0.79</formula>
    </cfRule>
  </conditionalFormatting>
  <conditionalFormatting sqref="C74:C84">
    <cfRule type="cellIs" dxfId="474" priority="131" operator="greaterThanOrEqual">
      <formula>0.8</formula>
    </cfRule>
    <cfRule type="cellIs" dxfId="473" priority="130" operator="between">
      <formula>0.6</formula>
      <formula>0.79</formula>
    </cfRule>
    <cfRule type="cellIs" dxfId="472" priority="128" operator="lessThan">
      <formula>0.6</formula>
    </cfRule>
    <cfRule type="cellIs" dxfId="471" priority="127" operator="lessThan">
      <formula>0.6</formula>
    </cfRule>
    <cfRule type="cellIs" dxfId="470" priority="126" operator="between">
      <formula>0.49</formula>
      <formula>0.59</formula>
    </cfRule>
  </conditionalFormatting>
  <conditionalFormatting sqref="C97:C101">
    <cfRule type="cellIs" dxfId="469" priority="61" operator="between">
      <formula>0.49</formula>
      <formula>0.59</formula>
    </cfRule>
    <cfRule type="cellIs" dxfId="468" priority="66" operator="greaterThanOrEqual">
      <formula>0.8</formula>
    </cfRule>
    <cfRule type="cellIs" dxfId="467" priority="62" operator="lessThan">
      <formula>0.6</formula>
    </cfRule>
    <cfRule type="cellIs" dxfId="466" priority="63" operator="lessThan">
      <formula>0.6</formula>
    </cfRule>
    <cfRule type="cellIs" dxfId="465" priority="65" operator="between">
      <formula>0.6</formula>
      <formula>0.79</formula>
    </cfRule>
  </conditionalFormatting>
  <conditionalFormatting sqref="C105:C110">
    <cfRule type="cellIs" dxfId="464" priority="43" operator="lessThan">
      <formula>0.6</formula>
    </cfRule>
    <cfRule type="cellIs" dxfId="463" priority="41" operator="between">
      <formula>0.49</formula>
      <formula>0.59</formula>
    </cfRule>
    <cfRule type="cellIs" dxfId="462" priority="45" operator="between">
      <formula>0.6</formula>
      <formula>0.79</formula>
    </cfRule>
    <cfRule type="cellIs" dxfId="461" priority="46" operator="greaterThanOrEqual">
      <formula>0.8</formula>
    </cfRule>
    <cfRule type="cellIs" dxfId="460" priority="42" operator="lessThan">
      <formula>0.6</formula>
    </cfRule>
  </conditionalFormatting>
  <conditionalFormatting sqref="C114:C117">
    <cfRule type="cellIs" dxfId="459" priority="22" operator="lessThan">
      <formula>0.6</formula>
    </cfRule>
    <cfRule type="cellIs" dxfId="458" priority="23" operator="lessThan">
      <formula>0.6</formula>
    </cfRule>
    <cfRule type="cellIs" dxfId="457" priority="25" operator="between">
      <formula>0.6</formula>
      <formula>0.79</formula>
    </cfRule>
    <cfRule type="cellIs" dxfId="456" priority="26" operator="greaterThanOrEqual">
      <formula>0.8</formula>
    </cfRule>
    <cfRule type="cellIs" dxfId="455" priority="21" operator="between">
      <formula>0.49</formula>
      <formula>0.59</formula>
    </cfRule>
  </conditionalFormatting>
  <conditionalFormatting sqref="C125:C134 C139:C145">
    <cfRule type="cellIs" dxfId="454" priority="209" operator="greaterThan">
      <formula>0.8</formula>
    </cfRule>
    <cfRule type="cellIs" dxfId="453" priority="207" operator="between">
      <formula>0.6</formula>
      <formula>0.79</formula>
    </cfRule>
    <cfRule type="cellIs" dxfId="452" priority="206" operator="greaterThanOrEqual">
      <formula>0.8</formula>
    </cfRule>
  </conditionalFormatting>
  <conditionalFormatting sqref="D25:D33 D40:D50 D88:D93">
    <cfRule type="cellIs" dxfId="451" priority="238" operator="equal">
      <formula>0</formula>
    </cfRule>
    <cfRule type="cellIs" dxfId="450" priority="237" operator="greaterThan">
      <formula>0</formula>
    </cfRule>
    <cfRule type="cellIs" dxfId="449" priority="236" operator="greaterThan">
      <formula>0.4</formula>
    </cfRule>
  </conditionalFormatting>
  <conditionalFormatting sqref="D55:D70">
    <cfRule type="cellIs" dxfId="448" priority="92" operator="greaterThan">
      <formula>0.4</formula>
    </cfRule>
    <cfRule type="cellIs" dxfId="447" priority="93" operator="greaterThan">
      <formula>0</formula>
    </cfRule>
    <cfRule type="cellIs" dxfId="446" priority="94" operator="equal">
      <formula>0</formula>
    </cfRule>
  </conditionalFormatting>
  <conditionalFormatting sqref="D74:D84">
    <cfRule type="cellIs" dxfId="445" priority="132" operator="greaterThan">
      <formula>0.4</formula>
    </cfRule>
    <cfRule type="cellIs" dxfId="444" priority="133" operator="greaterThan">
      <formula>0</formula>
    </cfRule>
    <cfRule type="cellIs" dxfId="443" priority="134" operator="equal">
      <formula>0</formula>
    </cfRule>
  </conditionalFormatting>
  <conditionalFormatting sqref="D97:D101">
    <cfRule type="cellIs" dxfId="442" priority="67" operator="greaterThan">
      <formula>0.4</formula>
    </cfRule>
    <cfRule type="cellIs" dxfId="441" priority="68" operator="greaterThan">
      <formula>0</formula>
    </cfRule>
    <cfRule type="cellIs" dxfId="440" priority="69" operator="equal">
      <formula>0</formula>
    </cfRule>
  </conditionalFormatting>
  <conditionalFormatting sqref="D105:D110">
    <cfRule type="cellIs" dxfId="439" priority="49" operator="equal">
      <formula>0</formula>
    </cfRule>
    <cfRule type="cellIs" dxfId="438" priority="47" operator="greaterThan">
      <formula>0.4</formula>
    </cfRule>
    <cfRule type="cellIs" dxfId="437" priority="48" operator="greaterThan">
      <formula>0</formula>
    </cfRule>
  </conditionalFormatting>
  <conditionalFormatting sqref="D114:D117">
    <cfRule type="cellIs" dxfId="436" priority="27" operator="greaterThan">
      <formula>0.4</formula>
    </cfRule>
    <cfRule type="cellIs" dxfId="435" priority="29" operator="equal">
      <formula>0</formula>
    </cfRule>
    <cfRule type="cellIs" dxfId="434" priority="28" operator="greaterThan">
      <formula>0</formula>
    </cfRule>
  </conditionalFormatting>
  <conditionalFormatting sqref="D125:D134">
    <cfRule type="cellIs" dxfId="433" priority="224" operator="greaterThan">
      <formula>0.4</formula>
    </cfRule>
    <cfRule type="cellIs" dxfId="432" priority="226" operator="equal">
      <formula>0</formula>
    </cfRule>
    <cfRule type="cellIs" dxfId="431" priority="225" operator="greaterThan">
      <formula>0</formula>
    </cfRule>
  </conditionalFormatting>
  <conditionalFormatting sqref="D139:D145">
    <cfRule type="cellIs" dxfId="430" priority="199" operator="greaterThan">
      <formula>0</formula>
    </cfRule>
    <cfRule type="cellIs" dxfId="429" priority="200" operator="greaterThan">
      <formula>0.4</formula>
    </cfRule>
    <cfRule type="cellIs" dxfId="428" priority="201" operator="greaterThan">
      <formula>0</formula>
    </cfRule>
    <cfRule type="cellIs" dxfId="427" priority="202" operator="equal">
      <formula>0</formula>
    </cfRule>
    <cfRule type="cellIs" dxfId="426" priority="198" operator="greaterThan">
      <formula>0</formula>
    </cfRule>
  </conditionalFormatting>
  <conditionalFormatting sqref="E25:E33 E88:E93">
    <cfRule type="cellIs" dxfId="425" priority="205" operator="greaterThan">
      <formula>0</formula>
    </cfRule>
    <cfRule type="cellIs" dxfId="424" priority="239" operator="equal">
      <formula>0</formula>
    </cfRule>
  </conditionalFormatting>
  <conditionalFormatting sqref="E40:E50">
    <cfRule type="cellIs" dxfId="423" priority="79" operator="greaterThan">
      <formula>0</formula>
    </cfRule>
    <cfRule type="cellIs" dxfId="422" priority="85" operator="equal">
      <formula>0</formula>
    </cfRule>
  </conditionalFormatting>
  <conditionalFormatting sqref="E55:E70">
    <cfRule type="cellIs" dxfId="421" priority="89" operator="greaterThan">
      <formula>0</formula>
    </cfRule>
    <cfRule type="cellIs" dxfId="420" priority="95" operator="equal">
      <formula>0</formula>
    </cfRule>
  </conditionalFormatting>
  <conditionalFormatting sqref="E74:E84">
    <cfRule type="cellIs" dxfId="419" priority="129" operator="greaterThan">
      <formula>0</formula>
    </cfRule>
    <cfRule type="cellIs" dxfId="418" priority="135" operator="equal">
      <formula>0</formula>
    </cfRule>
  </conditionalFormatting>
  <conditionalFormatting sqref="E97:E101">
    <cfRule type="cellIs" dxfId="417" priority="70" operator="equal">
      <formula>0</formula>
    </cfRule>
    <cfRule type="cellIs" dxfId="416" priority="64" operator="greaterThan">
      <formula>0</formula>
    </cfRule>
  </conditionalFormatting>
  <conditionalFormatting sqref="E105:E110">
    <cfRule type="cellIs" dxfId="415" priority="50" operator="equal">
      <formula>0</formula>
    </cfRule>
    <cfRule type="cellIs" dxfId="414" priority="44" operator="greaterThan">
      <formula>0</formula>
    </cfRule>
  </conditionalFormatting>
  <conditionalFormatting sqref="E114:E117">
    <cfRule type="cellIs" dxfId="413" priority="24" operator="greaterThan">
      <formula>0</formula>
    </cfRule>
    <cfRule type="cellIs" dxfId="412" priority="30" operator="equal">
      <formula>0</formula>
    </cfRule>
  </conditionalFormatting>
  <conditionalFormatting sqref="E125:E134 E139:E145">
    <cfRule type="cellIs" dxfId="411" priority="203" operator="greaterThan">
      <formula>0</formula>
    </cfRule>
  </conditionalFormatting>
  <conditionalFormatting sqref="E125:E134">
    <cfRule type="cellIs" dxfId="410" priority="227" operator="equal">
      <formula>0</formula>
    </cfRule>
  </conditionalFormatting>
  <conditionalFormatting sqref="E139:E145">
    <cfRule type="cellIs" dxfId="409" priority="215" operator="equal">
      <formula>0</formula>
    </cfRule>
  </conditionalFormatting>
  <conditionalFormatting sqref="L91:L93">
    <cfRule type="cellIs" dxfId="408" priority="280" operator="between">
      <formula>0</formula>
      <formula>0.39</formula>
    </cfRule>
    <cfRule type="cellIs" dxfId="407" priority="281" operator="between">
      <formula>0.4</formula>
      <formula>0.59</formula>
    </cfRule>
    <cfRule type="cellIs" dxfId="406" priority="282" operator="between">
      <formula>0.6</formula>
      <formula>1</formula>
    </cfRule>
  </conditionalFormatting>
  <pageMargins left="0.7" right="0.7" top="0.75" bottom="0.75" header="0.3" footer="0.3"/>
  <pageSetup orientation="portrait" r:id="rId1"/>
  <drawing r:id="rId2"/>
  <legacyDrawing r:id="rId3"/>
  <tableParts count="10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069D-E53A-446E-B8FB-C08AB324331E}">
  <dimension ref="A1:K54"/>
  <sheetViews>
    <sheetView zoomScale="70" zoomScaleNormal="70" workbookViewId="0">
      <selection activeCell="C3" sqref="C3"/>
    </sheetView>
  </sheetViews>
  <sheetFormatPr defaultRowHeight="15" x14ac:dyDescent="0.25"/>
  <cols>
    <col min="1" max="1" width="40.7109375" customWidth="1"/>
    <col min="2" max="2" width="10.7109375" customWidth="1"/>
    <col min="3" max="3" width="40.7109375" customWidth="1"/>
    <col min="4" max="4" width="10.7109375" customWidth="1"/>
    <col min="5" max="5" width="40.7109375" customWidth="1"/>
    <col min="6" max="6" width="10.7109375" customWidth="1"/>
    <col min="7" max="7" width="40.7109375" customWidth="1"/>
    <col min="8" max="8" width="10.7109375" customWidth="1"/>
    <col min="9" max="9" width="40.7109375" customWidth="1"/>
    <col min="10" max="10" width="10.7109375" customWidth="1"/>
    <col min="11" max="11" width="40.7109375" customWidth="1"/>
  </cols>
  <sheetData>
    <row r="1" spans="1:11" x14ac:dyDescent="0.25">
      <c r="A1" s="72" t="s">
        <v>266</v>
      </c>
      <c r="B1" s="72"/>
      <c r="C1" s="72" t="s">
        <v>267</v>
      </c>
      <c r="D1" s="72"/>
      <c r="E1" s="72" t="s">
        <v>268</v>
      </c>
      <c r="F1" s="72"/>
      <c r="G1" s="72" t="s">
        <v>269</v>
      </c>
      <c r="H1" s="72"/>
      <c r="I1" s="72" t="s">
        <v>270</v>
      </c>
      <c r="J1" s="72"/>
      <c r="K1" s="72" t="s">
        <v>271</v>
      </c>
    </row>
    <row r="2" spans="1:11" ht="30" x14ac:dyDescent="0.25">
      <c r="A2" s="73" t="s">
        <v>272</v>
      </c>
      <c r="B2" s="78"/>
      <c r="C2" s="75" t="s">
        <v>273</v>
      </c>
      <c r="D2" s="74"/>
      <c r="E2" s="74" t="s">
        <v>274</v>
      </c>
      <c r="F2" s="74"/>
      <c r="G2" s="74" t="s">
        <v>275</v>
      </c>
      <c r="H2" s="74"/>
      <c r="I2" s="74" t="s">
        <v>276</v>
      </c>
      <c r="J2" s="74"/>
      <c r="K2" s="74" t="s">
        <v>276</v>
      </c>
    </row>
    <row r="3" spans="1:11" ht="66" customHeight="1" x14ac:dyDescent="0.25">
      <c r="A3" s="156" t="s">
        <v>277</v>
      </c>
      <c r="B3" s="83">
        <f>'Оценка коллег'!AA28</f>
        <v>1</v>
      </c>
      <c r="C3" s="75" t="s">
        <v>278</v>
      </c>
      <c r="D3" s="83">
        <f>'Оценка коллег'!Z28</f>
        <v>1</v>
      </c>
      <c r="E3" s="75" t="s">
        <v>279</v>
      </c>
      <c r="F3" s="83">
        <f>'Оценка коллег'!AG29</f>
        <v>0</v>
      </c>
      <c r="G3" s="75" t="s">
        <v>280</v>
      </c>
      <c r="H3" s="75"/>
      <c r="I3" s="75"/>
      <c r="J3" s="75"/>
      <c r="K3" s="75"/>
    </row>
    <row r="4" spans="1:11" ht="96" customHeight="1" x14ac:dyDescent="0.25">
      <c r="A4" s="157"/>
      <c r="B4" s="83">
        <f>'Оценка коллег'!AC28</f>
        <v>1</v>
      </c>
      <c r="C4" s="75" t="s">
        <v>281</v>
      </c>
      <c r="D4" s="83">
        <f>'Оценка коллег'!AB28</f>
        <v>1</v>
      </c>
      <c r="E4" s="76" t="s">
        <v>282</v>
      </c>
      <c r="F4" s="84"/>
      <c r="G4" s="76"/>
      <c r="H4" s="76"/>
      <c r="I4" s="76"/>
      <c r="J4" s="76"/>
      <c r="K4" s="76"/>
    </row>
    <row r="5" spans="1:11" ht="69" customHeight="1" x14ac:dyDescent="0.25">
      <c r="A5" s="156" t="s">
        <v>283</v>
      </c>
      <c r="B5" s="83">
        <f>'Коллеги_%'!C30</f>
        <v>1</v>
      </c>
      <c r="C5" s="75" t="s">
        <v>284</v>
      </c>
      <c r="D5" s="83">
        <f>'Коллеги_%'!C29</f>
        <v>1</v>
      </c>
      <c r="E5" s="75" t="s">
        <v>285</v>
      </c>
      <c r="F5" s="83">
        <f>'Коллеги_%'!C32</f>
        <v>1</v>
      </c>
      <c r="G5" s="75" t="s">
        <v>286</v>
      </c>
      <c r="H5" s="75"/>
      <c r="I5" s="75"/>
      <c r="J5" s="75"/>
      <c r="K5" s="75"/>
    </row>
    <row r="6" spans="1:11" ht="60" x14ac:dyDescent="0.25">
      <c r="A6" s="157"/>
      <c r="B6" s="80"/>
      <c r="C6" s="76"/>
      <c r="D6" s="83">
        <f>'Коллеги_%'!C31</f>
        <v>1</v>
      </c>
      <c r="E6" s="76" t="s">
        <v>287</v>
      </c>
      <c r="F6" s="76"/>
      <c r="G6" s="76"/>
      <c r="H6" s="76"/>
      <c r="I6" s="76"/>
      <c r="J6" s="76"/>
      <c r="K6" s="76"/>
    </row>
    <row r="7" spans="1:11" ht="75" x14ac:dyDescent="0.25">
      <c r="A7" s="156" t="s">
        <v>288</v>
      </c>
      <c r="B7" s="83">
        <f>'Коллеги_%'!C49</f>
        <v>0.5</v>
      </c>
      <c r="C7" s="75" t="s">
        <v>289</v>
      </c>
      <c r="D7" s="83">
        <f>'Коллеги_%'!C40</f>
        <v>0.83333333333333337</v>
      </c>
      <c r="E7" s="75" t="s">
        <v>290</v>
      </c>
      <c r="F7" s="83">
        <f>'Коллеги_%'!C41</f>
        <v>0.83333333333333337</v>
      </c>
      <c r="G7" s="75" t="s">
        <v>291</v>
      </c>
      <c r="H7" s="83">
        <f>'Коллеги_%'!C43</f>
        <v>1</v>
      </c>
      <c r="I7" s="75" t="s">
        <v>292</v>
      </c>
      <c r="J7" s="83">
        <f>'Коллеги_%'!C44</f>
        <v>1</v>
      </c>
      <c r="K7" s="75" t="s">
        <v>293</v>
      </c>
    </row>
    <row r="8" spans="1:11" ht="75" x14ac:dyDescent="0.25">
      <c r="A8" s="158"/>
      <c r="B8" s="81"/>
      <c r="C8" s="77"/>
      <c r="D8" s="83">
        <f>'Коллеги_%'!C45</f>
        <v>0.5</v>
      </c>
      <c r="E8" s="77" t="s">
        <v>294</v>
      </c>
      <c r="F8" s="83">
        <f>'Коллеги_%'!C50</f>
        <v>0.5</v>
      </c>
      <c r="G8" s="77" t="s">
        <v>295</v>
      </c>
      <c r="H8" s="83">
        <f>'Коллеги_%'!C48</f>
        <v>0.33333333333333331</v>
      </c>
      <c r="I8" s="77" t="s">
        <v>296</v>
      </c>
      <c r="J8" s="77"/>
      <c r="K8" s="77" t="s">
        <v>297</v>
      </c>
    </row>
    <row r="9" spans="1:11" ht="45" x14ac:dyDescent="0.25">
      <c r="A9" s="158"/>
      <c r="B9" s="81"/>
      <c r="C9" s="77"/>
      <c r="D9" s="83">
        <f>'Коллеги_%'!C46</f>
        <v>1</v>
      </c>
      <c r="E9" s="77" t="s">
        <v>298</v>
      </c>
      <c r="F9" s="83">
        <f>'Коллеги_%'!C42</f>
        <v>0.66666666666666663</v>
      </c>
      <c r="G9" s="77" t="s">
        <v>299</v>
      </c>
      <c r="H9" s="77"/>
      <c r="I9" s="77"/>
      <c r="J9" s="77"/>
      <c r="K9" s="77"/>
    </row>
    <row r="10" spans="1:11" ht="30" x14ac:dyDescent="0.25">
      <c r="A10" s="157"/>
      <c r="B10" s="80"/>
      <c r="C10" s="76"/>
      <c r="D10" s="76"/>
      <c r="E10" s="76"/>
      <c r="F10" s="83">
        <f>'Коллеги_%'!C47</f>
        <v>0.33333333333333331</v>
      </c>
      <c r="G10" s="76" t="s">
        <v>351</v>
      </c>
      <c r="H10" s="76"/>
      <c r="I10" s="76"/>
      <c r="J10" s="76"/>
      <c r="K10" s="76"/>
    </row>
    <row r="11" spans="1:11" ht="120" x14ac:dyDescent="0.25">
      <c r="A11" s="156" t="s">
        <v>300</v>
      </c>
      <c r="B11" s="83">
        <f>'Коллеги_%'!C74</f>
        <v>0.66666666666666663</v>
      </c>
      <c r="C11" s="75" t="s">
        <v>301</v>
      </c>
      <c r="D11" s="83">
        <f>'Коллеги_%'!C75</f>
        <v>1</v>
      </c>
      <c r="E11" s="75" t="s">
        <v>302</v>
      </c>
      <c r="F11" s="83"/>
      <c r="G11" s="75" t="s">
        <v>303</v>
      </c>
      <c r="H11" s="83">
        <f>'Коллеги_%'!C76</f>
        <v>0.83333333333333337</v>
      </c>
      <c r="I11" s="75" t="s">
        <v>304</v>
      </c>
      <c r="J11" s="83">
        <f>'Коллеги_%'!C83</f>
        <v>0.66666666666666663</v>
      </c>
      <c r="K11" s="75" t="s">
        <v>153</v>
      </c>
    </row>
    <row r="12" spans="1:11" ht="60" x14ac:dyDescent="0.25">
      <c r="A12" s="158"/>
      <c r="B12" s="83">
        <f>'Коллеги_%'!C77</f>
        <v>0.83333333333333337</v>
      </c>
      <c r="C12" s="77" t="s">
        <v>305</v>
      </c>
      <c r="D12" s="83">
        <f>'Коллеги_%'!C78</f>
        <v>1</v>
      </c>
      <c r="E12" s="77" t="s">
        <v>306</v>
      </c>
      <c r="F12" s="83">
        <f>'Коллеги_%'!C80</f>
        <v>0.83333333333333337</v>
      </c>
      <c r="G12" s="77" t="s">
        <v>307</v>
      </c>
      <c r="H12" s="77"/>
      <c r="I12" s="77"/>
      <c r="J12" s="77"/>
      <c r="K12" s="77"/>
    </row>
    <row r="13" spans="1:11" ht="75" x14ac:dyDescent="0.25">
      <c r="A13" s="158"/>
      <c r="B13" s="83">
        <f>'Коллеги_%'!C84</f>
        <v>0.83333333333333337</v>
      </c>
      <c r="C13" s="77" t="s">
        <v>308</v>
      </c>
      <c r="D13" s="83">
        <f>'Коллеги_%'!C79</f>
        <v>0.83333333333333337</v>
      </c>
      <c r="E13" s="77" t="s">
        <v>309</v>
      </c>
      <c r="F13" s="83">
        <f>'Коллеги_%'!C81</f>
        <v>0.83333333333333337</v>
      </c>
      <c r="G13" s="77" t="s">
        <v>310</v>
      </c>
      <c r="H13" s="77"/>
      <c r="I13" s="77"/>
      <c r="J13" s="77"/>
      <c r="K13" s="77"/>
    </row>
    <row r="14" spans="1:11" ht="45" x14ac:dyDescent="0.25">
      <c r="A14" s="157"/>
      <c r="B14" s="80"/>
      <c r="C14" s="76"/>
      <c r="D14" s="76"/>
      <c r="E14" s="76"/>
      <c r="F14" s="83">
        <f>'Коллеги_%'!C82</f>
        <v>0.66666666666666663</v>
      </c>
      <c r="G14" s="76" t="s">
        <v>311</v>
      </c>
      <c r="H14" s="76"/>
      <c r="I14" s="76"/>
      <c r="J14" s="76"/>
      <c r="K14" s="76"/>
    </row>
    <row r="15" spans="1:11" ht="105" x14ac:dyDescent="0.25">
      <c r="A15" s="156" t="s">
        <v>312</v>
      </c>
      <c r="B15" s="83">
        <f>'Коллеги_%'!C97</f>
        <v>0.5</v>
      </c>
      <c r="C15" s="75" t="s">
        <v>256</v>
      </c>
      <c r="D15" s="83">
        <f>'Коллеги_%'!C98</f>
        <v>0.33333333333333331</v>
      </c>
      <c r="E15" s="75" t="s">
        <v>313</v>
      </c>
      <c r="F15" s="83"/>
      <c r="G15" s="75" t="s">
        <v>314</v>
      </c>
      <c r="H15" s="75"/>
      <c r="I15" s="75"/>
      <c r="J15" s="75"/>
      <c r="K15" s="75"/>
    </row>
    <row r="16" spans="1:11" ht="90" x14ac:dyDescent="0.25">
      <c r="A16" s="158"/>
      <c r="B16" s="81"/>
      <c r="C16" s="77"/>
      <c r="D16" s="83">
        <f>'Коллеги_%'!C100</f>
        <v>0.66666666666666663</v>
      </c>
      <c r="E16" s="77" t="s">
        <v>315</v>
      </c>
      <c r="F16" s="83">
        <f>'Коллеги_%'!C101</f>
        <v>0.83333333333333337</v>
      </c>
      <c r="G16" s="77" t="s">
        <v>316</v>
      </c>
      <c r="H16" s="77"/>
      <c r="I16" s="77"/>
      <c r="J16" s="77"/>
      <c r="K16" s="77"/>
    </row>
    <row r="17" spans="1:11" ht="30" x14ac:dyDescent="0.25">
      <c r="A17" s="157"/>
      <c r="B17" s="80"/>
      <c r="C17" s="76"/>
      <c r="D17" s="83">
        <f>'Коллеги_%'!C99</f>
        <v>0.66666666666666663</v>
      </c>
      <c r="E17" s="76" t="s">
        <v>317</v>
      </c>
      <c r="F17" s="76"/>
      <c r="G17" s="76"/>
      <c r="H17" s="76"/>
      <c r="I17" s="76"/>
      <c r="J17" s="76"/>
      <c r="K17" s="76"/>
    </row>
    <row r="18" spans="1:11" ht="90" x14ac:dyDescent="0.25">
      <c r="A18" s="156" t="s">
        <v>318</v>
      </c>
      <c r="B18" s="83">
        <f>'Коллеги_%'!C57</f>
        <v>1</v>
      </c>
      <c r="C18" s="75" t="s">
        <v>319</v>
      </c>
      <c r="D18" s="83">
        <f>'Коллеги_%'!C58</f>
        <v>1</v>
      </c>
      <c r="E18" s="75" t="s">
        <v>320</v>
      </c>
      <c r="F18" s="83">
        <f>'Коллеги_%'!C56</f>
        <v>1</v>
      </c>
      <c r="G18" s="75" t="s">
        <v>321</v>
      </c>
      <c r="H18" s="83">
        <f>'Коллеги_%'!C55</f>
        <v>1</v>
      </c>
      <c r="I18" s="75" t="s">
        <v>322</v>
      </c>
      <c r="J18" s="83">
        <f>'Коллеги_%'!C69</f>
        <v>0.66666666666666663</v>
      </c>
      <c r="K18" s="75" t="s">
        <v>323</v>
      </c>
    </row>
    <row r="19" spans="1:11" ht="75" x14ac:dyDescent="0.25">
      <c r="A19" s="159"/>
      <c r="B19" s="83">
        <f>'Коллеги_%'!C68</f>
        <v>0.83333333333333337</v>
      </c>
      <c r="C19" s="77" t="s">
        <v>324</v>
      </c>
      <c r="D19" s="83">
        <f>'Коллеги_%'!C63</f>
        <v>1</v>
      </c>
      <c r="E19" s="77" t="s">
        <v>325</v>
      </c>
      <c r="F19" s="83">
        <f>'Коллеги_%'!C60</f>
        <v>1</v>
      </c>
      <c r="G19" s="77" t="s">
        <v>326</v>
      </c>
      <c r="H19" s="83">
        <f>'Коллеги_%'!C59</f>
        <v>1</v>
      </c>
      <c r="I19" s="77" t="s">
        <v>327</v>
      </c>
      <c r="J19" s="83">
        <f>'Коллеги_%'!C70</f>
        <v>0.66666666666666663</v>
      </c>
      <c r="K19" s="77" t="s">
        <v>328</v>
      </c>
    </row>
    <row r="20" spans="1:11" ht="30" x14ac:dyDescent="0.25">
      <c r="A20" s="159"/>
      <c r="B20" s="81"/>
      <c r="C20" s="77"/>
      <c r="D20" s="83">
        <f>'Коллеги_%'!C66</f>
        <v>0.83333333333333337</v>
      </c>
      <c r="E20" s="77" t="s">
        <v>352</v>
      </c>
      <c r="F20" s="83">
        <f>'Коллеги_%'!C61</f>
        <v>1</v>
      </c>
      <c r="G20" s="77" t="s">
        <v>329</v>
      </c>
      <c r="H20" s="83">
        <f>'Коллеги_%'!C62</f>
        <v>0.83333333333333337</v>
      </c>
      <c r="I20" s="85" t="s">
        <v>330</v>
      </c>
      <c r="J20" s="77"/>
      <c r="K20" s="77"/>
    </row>
    <row r="21" spans="1:11" ht="45" x14ac:dyDescent="0.25">
      <c r="A21" s="159"/>
      <c r="B21" s="81"/>
      <c r="C21" s="77"/>
      <c r="D21" s="83">
        <f>'Коллеги_%'!C67</f>
        <v>1</v>
      </c>
      <c r="E21" s="85" t="s">
        <v>331</v>
      </c>
      <c r="F21" s="77"/>
      <c r="G21" s="77"/>
      <c r="H21" s="83">
        <f>'Коллеги_%'!C64</f>
        <v>0.66666666666666663</v>
      </c>
      <c r="I21" s="77" t="s">
        <v>332</v>
      </c>
      <c r="J21" s="77"/>
      <c r="K21" s="77"/>
    </row>
    <row r="22" spans="1:11" ht="45" x14ac:dyDescent="0.25">
      <c r="A22" s="160"/>
      <c r="B22" s="80"/>
      <c r="C22" s="76"/>
      <c r="D22" s="76"/>
      <c r="E22" s="76"/>
      <c r="F22" s="76"/>
      <c r="G22" s="76"/>
      <c r="H22" s="83">
        <f>'Коллеги_%'!C65</f>
        <v>0.66666666666666663</v>
      </c>
      <c r="I22" s="76" t="s">
        <v>353</v>
      </c>
      <c r="J22" s="76"/>
      <c r="K22" s="76"/>
    </row>
    <row r="23" spans="1:11" ht="60" x14ac:dyDescent="0.25">
      <c r="A23" s="156" t="s">
        <v>333</v>
      </c>
      <c r="B23" s="83">
        <f>'Коллеги_%'!C91</f>
        <v>0.83333333333333337</v>
      </c>
      <c r="C23" s="75" t="s">
        <v>334</v>
      </c>
      <c r="D23" s="83">
        <f>'Коллеги_%'!C92</f>
        <v>0.83333333333333337</v>
      </c>
      <c r="E23" s="75" t="s">
        <v>335</v>
      </c>
      <c r="F23" s="83">
        <f>'Коллеги_%'!C88</f>
        <v>1</v>
      </c>
      <c r="G23" s="75" t="s">
        <v>336</v>
      </c>
      <c r="H23" s="83">
        <f>'Коллеги_%'!C90</f>
        <v>0.5</v>
      </c>
      <c r="I23" s="75" t="s">
        <v>337</v>
      </c>
      <c r="J23" s="75"/>
      <c r="K23" s="75"/>
    </row>
    <row r="24" spans="1:11" ht="105" x14ac:dyDescent="0.25">
      <c r="A24" s="157"/>
      <c r="B24" s="80"/>
      <c r="C24" s="76"/>
      <c r="D24" s="76"/>
      <c r="E24" s="76"/>
      <c r="F24" s="83">
        <f>'Коллеги_%'!C89</f>
        <v>1</v>
      </c>
      <c r="G24" s="76" t="s">
        <v>338</v>
      </c>
      <c r="H24" s="83">
        <f>'Коллеги_%'!C93</f>
        <v>0.83333333333333337</v>
      </c>
      <c r="I24" s="76" t="s">
        <v>339</v>
      </c>
      <c r="J24" s="76"/>
      <c r="K24" s="76"/>
    </row>
    <row r="25" spans="1:11" ht="75" x14ac:dyDescent="0.25">
      <c r="A25" s="156" t="s">
        <v>340</v>
      </c>
      <c r="B25" s="79"/>
      <c r="C25" s="75"/>
      <c r="D25" s="75"/>
      <c r="E25" s="75"/>
      <c r="F25" s="83">
        <f>'Коллеги_%'!C114</f>
        <v>0.33333333333333331</v>
      </c>
      <c r="G25" s="75" t="s">
        <v>261</v>
      </c>
      <c r="H25" s="83">
        <f>'Коллеги_%'!C116</f>
        <v>0.33333333333333331</v>
      </c>
      <c r="I25" s="75" t="s">
        <v>341</v>
      </c>
      <c r="J25" s="75"/>
      <c r="K25" s="75"/>
    </row>
    <row r="26" spans="1:11" ht="45" x14ac:dyDescent="0.25">
      <c r="A26" s="158"/>
      <c r="B26" s="81"/>
      <c r="C26" s="77"/>
      <c r="D26" s="77"/>
      <c r="E26" s="77"/>
      <c r="F26" s="83">
        <f>'Коллеги_%'!C117</f>
        <v>0.5</v>
      </c>
      <c r="G26" s="77" t="s">
        <v>342</v>
      </c>
      <c r="H26" s="77"/>
      <c r="I26" s="77"/>
      <c r="J26" s="77"/>
      <c r="K26" s="77"/>
    </row>
    <row r="27" spans="1:11" ht="60" x14ac:dyDescent="0.25">
      <c r="A27" s="157"/>
      <c r="B27" s="80"/>
      <c r="C27" s="76"/>
      <c r="D27" s="76"/>
      <c r="E27" s="76"/>
      <c r="F27" s="83">
        <f>'Коллеги_%'!C115</f>
        <v>0.16666666666666666</v>
      </c>
      <c r="G27" s="76" t="s">
        <v>343</v>
      </c>
      <c r="H27" s="76"/>
      <c r="I27" s="76"/>
      <c r="J27" s="76"/>
      <c r="K27" s="76"/>
    </row>
    <row r="28" spans="1:11" ht="45" x14ac:dyDescent="0.25">
      <c r="A28" s="156" t="s">
        <v>344</v>
      </c>
      <c r="B28" s="83">
        <f>'Коллеги_%'!C105</f>
        <v>1</v>
      </c>
      <c r="C28" s="75" t="s">
        <v>345</v>
      </c>
      <c r="D28" s="83">
        <f>'Коллеги_%'!C106</f>
        <v>0.33333333333333331</v>
      </c>
      <c r="E28" s="75" t="s">
        <v>346</v>
      </c>
      <c r="F28" s="75"/>
      <c r="G28" s="75"/>
      <c r="H28" s="83">
        <f>'Коллеги_%'!C108</f>
        <v>0.5</v>
      </c>
      <c r="I28" s="75" t="s">
        <v>347</v>
      </c>
      <c r="J28" s="83">
        <f>'Коллеги_%'!C109</f>
        <v>0.33333333333333331</v>
      </c>
      <c r="K28" s="75" t="s">
        <v>348</v>
      </c>
    </row>
    <row r="29" spans="1:11" ht="60" x14ac:dyDescent="0.25">
      <c r="A29" s="157"/>
      <c r="B29" s="80"/>
      <c r="C29" s="76"/>
      <c r="D29" s="83">
        <f>'Коллеги_%'!C107</f>
        <v>0.5</v>
      </c>
      <c r="E29" s="76" t="s">
        <v>349</v>
      </c>
      <c r="F29" s="76"/>
      <c r="G29" s="76"/>
      <c r="H29" s="76"/>
      <c r="I29" s="76"/>
      <c r="J29" s="83">
        <f>'Коллеги_%'!C110</f>
        <v>0.16666666666666666</v>
      </c>
      <c r="K29" s="76" t="s">
        <v>350</v>
      </c>
    </row>
    <row r="30" spans="1:11" x14ac:dyDescent="0.25">
      <c r="B30" s="82"/>
    </row>
    <row r="31" spans="1:11" x14ac:dyDescent="0.25">
      <c r="B31" s="82"/>
    </row>
    <row r="32" spans="1:11" x14ac:dyDescent="0.25">
      <c r="B32" s="82"/>
    </row>
    <row r="33" spans="2:2" x14ac:dyDescent="0.25">
      <c r="B33" s="82"/>
    </row>
    <row r="34" spans="2:2" x14ac:dyDescent="0.25">
      <c r="B34" s="82"/>
    </row>
    <row r="35" spans="2:2" x14ac:dyDescent="0.25">
      <c r="B35" s="82"/>
    </row>
    <row r="36" spans="2:2" x14ac:dyDescent="0.25">
      <c r="B36" s="82"/>
    </row>
    <row r="37" spans="2:2" x14ac:dyDescent="0.25">
      <c r="B37" s="82"/>
    </row>
    <row r="38" spans="2:2" x14ac:dyDescent="0.25">
      <c r="B38" s="82"/>
    </row>
    <row r="39" spans="2:2" x14ac:dyDescent="0.25">
      <c r="B39" s="82"/>
    </row>
    <row r="40" spans="2:2" x14ac:dyDescent="0.25">
      <c r="B40" s="82"/>
    </row>
    <row r="41" spans="2:2" x14ac:dyDescent="0.25">
      <c r="B41" s="82"/>
    </row>
    <row r="42" spans="2:2" x14ac:dyDescent="0.25">
      <c r="B42" s="82"/>
    </row>
    <row r="43" spans="2:2" x14ac:dyDescent="0.25">
      <c r="B43" s="82"/>
    </row>
    <row r="44" spans="2:2" x14ac:dyDescent="0.25">
      <c r="B44" s="82"/>
    </row>
    <row r="45" spans="2:2" x14ac:dyDescent="0.25">
      <c r="B45" s="82"/>
    </row>
    <row r="46" spans="2:2" x14ac:dyDescent="0.25">
      <c r="B46" s="82"/>
    </row>
    <row r="47" spans="2:2" x14ac:dyDescent="0.25">
      <c r="B47" s="82"/>
    </row>
    <row r="48" spans="2:2" x14ac:dyDescent="0.25">
      <c r="B48" s="82"/>
    </row>
    <row r="49" spans="2:2" x14ac:dyDescent="0.25">
      <c r="B49" s="82"/>
    </row>
    <row r="50" spans="2:2" x14ac:dyDescent="0.25">
      <c r="B50" s="82"/>
    </row>
    <row r="51" spans="2:2" x14ac:dyDescent="0.25">
      <c r="B51" s="82"/>
    </row>
    <row r="52" spans="2:2" x14ac:dyDescent="0.25">
      <c r="B52" s="82"/>
    </row>
    <row r="53" spans="2:2" x14ac:dyDescent="0.25">
      <c r="B53" s="82"/>
    </row>
    <row r="54" spans="2:2" x14ac:dyDescent="0.25">
      <c r="B54" s="82"/>
    </row>
  </sheetData>
  <mergeCells count="9">
    <mergeCell ref="A23:A24"/>
    <mergeCell ref="A25:A27"/>
    <mergeCell ref="A28:A29"/>
    <mergeCell ref="A3:A4"/>
    <mergeCell ref="A5:A6"/>
    <mergeCell ref="A7:A10"/>
    <mergeCell ref="A11:A14"/>
    <mergeCell ref="A15:A17"/>
    <mergeCell ref="A18:A22"/>
  </mergeCells>
  <conditionalFormatting sqref="B3">
    <cfRule type="colorScale" priority="3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3:B4">
    <cfRule type="cellIs" dxfId="405" priority="347" operator="between">
      <formula>0</formula>
      <formula>0.39</formula>
    </cfRule>
    <cfRule type="cellIs" dxfId="404" priority="348" operator="between">
      <formula>0.4</formula>
      <formula>0.59</formula>
    </cfRule>
    <cfRule type="cellIs" dxfId="403" priority="349" operator="between">
      <formula>0.6</formula>
      <formula>1</formula>
    </cfRule>
  </conditionalFormatting>
  <conditionalFormatting sqref="B3:B5">
    <cfRule type="cellIs" dxfId="402" priority="350" operator="greaterThan">
      <formula>0.6</formula>
    </cfRule>
  </conditionalFormatting>
  <conditionalFormatting sqref="B4">
    <cfRule type="colorScale" priority="35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5">
    <cfRule type="colorScale" priority="361">
      <colorScale>
        <cfvo type="percent" val="40"/>
        <cfvo type="percent" val="100"/>
        <color theme="7" tint="0.39997558519241921"/>
        <color theme="9" tint="0.39997558519241921"/>
      </colorScale>
    </cfRule>
    <cfRule type="cellIs" dxfId="401" priority="359" operator="between">
      <formula>0.6</formula>
      <formula>1</formula>
    </cfRule>
    <cfRule type="cellIs" dxfId="400" priority="358" operator="between">
      <formula>0.4</formula>
      <formula>0.59</formula>
    </cfRule>
    <cfRule type="cellIs" dxfId="399" priority="357" operator="between">
      <formula>0</formula>
      <formula>0.39</formula>
    </cfRule>
  </conditionalFormatting>
  <conditionalFormatting sqref="B7">
    <cfRule type="cellIs" dxfId="398" priority="314" operator="between">
      <formula>0.6</formula>
      <formula>1</formula>
    </cfRule>
    <cfRule type="colorScale" priority="316">
      <colorScale>
        <cfvo type="percent" val="40"/>
        <cfvo type="percent" val="100"/>
        <color theme="7" tint="0.39997558519241921"/>
        <color theme="9" tint="0.39997558519241921"/>
      </colorScale>
    </cfRule>
    <cfRule type="cellIs" dxfId="397" priority="315" operator="greaterThan">
      <formula>0.6</formula>
    </cfRule>
    <cfRule type="cellIs" dxfId="396" priority="313" operator="between">
      <formula>0.4</formula>
      <formula>0.59</formula>
    </cfRule>
    <cfRule type="cellIs" dxfId="395" priority="312" operator="between">
      <formula>0</formula>
      <formula>0.39</formula>
    </cfRule>
  </conditionalFormatting>
  <conditionalFormatting sqref="B11">
    <cfRule type="colorScale" priority="26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1:B13">
    <cfRule type="cellIs" dxfId="394" priority="248" operator="between">
      <formula>0.4</formula>
      <formula>0.59</formula>
    </cfRule>
    <cfRule type="cellIs" dxfId="393" priority="249" operator="between">
      <formula>0.6</formula>
      <formula>1</formula>
    </cfRule>
    <cfRule type="cellIs" dxfId="392" priority="247" operator="between">
      <formula>0</formula>
      <formula>0.39</formula>
    </cfRule>
    <cfRule type="cellIs" dxfId="391" priority="250" operator="greaterThan">
      <formula>0.6</formula>
    </cfRule>
  </conditionalFormatting>
  <conditionalFormatting sqref="B12">
    <cfRule type="colorScale" priority="2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3">
    <cfRule type="colorScale" priority="25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5">
    <cfRule type="cellIs" dxfId="390" priority="200" operator="greaterThan">
      <formula>0.6</formula>
    </cfRule>
    <cfRule type="colorScale" priority="201">
      <colorScale>
        <cfvo type="percent" val="40"/>
        <cfvo type="percent" val="100"/>
        <color theme="7" tint="0.39997558519241921"/>
        <color theme="9" tint="0.39997558519241921"/>
      </colorScale>
    </cfRule>
    <cfRule type="cellIs" dxfId="389" priority="198" operator="between">
      <formula>0.4</formula>
      <formula>0.59</formula>
    </cfRule>
    <cfRule type="cellIs" dxfId="388" priority="197" operator="between">
      <formula>0</formula>
      <formula>0.39</formula>
    </cfRule>
    <cfRule type="cellIs" dxfId="387" priority="199" operator="between">
      <formula>0.6</formula>
      <formula>1</formula>
    </cfRule>
  </conditionalFormatting>
  <conditionalFormatting sqref="B18">
    <cfRule type="colorScale" priority="17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8:B19">
    <cfRule type="cellIs" dxfId="386" priority="164" operator="between">
      <formula>0.6</formula>
      <formula>1</formula>
    </cfRule>
    <cfRule type="cellIs" dxfId="385" priority="163" operator="between">
      <formula>0.4</formula>
      <formula>0.59</formula>
    </cfRule>
    <cfRule type="cellIs" dxfId="384" priority="162" operator="between">
      <formula>0</formula>
      <formula>0.39</formula>
    </cfRule>
    <cfRule type="cellIs" dxfId="383" priority="165" operator="greaterThan">
      <formula>0.6</formula>
    </cfRule>
  </conditionalFormatting>
  <conditionalFormatting sqref="B19">
    <cfRule type="colorScale" priority="16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3">
    <cfRule type="cellIs" dxfId="382" priority="90" operator="greaterThan">
      <formula>0.6</formula>
    </cfRule>
    <cfRule type="cellIs" dxfId="381" priority="89" operator="between">
      <formula>0.6</formula>
      <formula>1</formula>
    </cfRule>
    <cfRule type="cellIs" dxfId="380" priority="88" operator="between">
      <formula>0.4</formula>
      <formula>0.59</formula>
    </cfRule>
    <cfRule type="cellIs" dxfId="379" priority="87" operator="between">
      <formula>0</formula>
      <formula>0.39</formula>
    </cfRule>
    <cfRule type="colorScale" priority="9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8">
    <cfRule type="cellIs" dxfId="378" priority="38" operator="between">
      <formula>0.4</formula>
      <formula>0.59</formula>
    </cfRule>
    <cfRule type="cellIs" dxfId="377" priority="39" operator="between">
      <formula>0.6</formula>
      <formula>1</formula>
    </cfRule>
    <cfRule type="cellIs" dxfId="376" priority="40" operator="greaterThan">
      <formula>0.6</formula>
    </cfRule>
    <cfRule type="colorScale" priority="41">
      <colorScale>
        <cfvo type="percent" val="40"/>
        <cfvo type="percent" val="100"/>
        <color theme="7" tint="0.39997558519241921"/>
        <color theme="9" tint="0.39997558519241921"/>
      </colorScale>
    </cfRule>
    <cfRule type="cellIs" dxfId="375" priority="37" operator="between">
      <formula>0</formula>
      <formula>0.39</formula>
    </cfRule>
  </conditionalFormatting>
  <conditionalFormatting sqref="D3">
    <cfRule type="colorScale" priority="34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3:D4">
    <cfRule type="cellIs" dxfId="370" priority="338" operator="between">
      <formula>0.4</formula>
      <formula>0.59</formula>
    </cfRule>
    <cfRule type="cellIs" dxfId="369" priority="339" operator="between">
      <formula>0.6</formula>
      <formula>1</formula>
    </cfRule>
    <cfRule type="cellIs" dxfId="368" priority="337" operator="between">
      <formula>0</formula>
      <formula>0.39</formula>
    </cfRule>
  </conditionalFormatting>
  <conditionalFormatting sqref="D3:D9">
    <cfRule type="cellIs" dxfId="367" priority="300" operator="greaterThan">
      <formula>0.6</formula>
    </cfRule>
  </conditionalFormatting>
  <conditionalFormatting sqref="D4">
    <cfRule type="colorScale" priority="34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5">
    <cfRule type="colorScale" priority="32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5:D9">
    <cfRule type="cellIs" dxfId="366" priority="297" operator="between">
      <formula>0</formula>
      <formula>0.39</formula>
    </cfRule>
    <cfRule type="cellIs" dxfId="365" priority="299" operator="between">
      <formula>0.6</formula>
      <formula>1</formula>
    </cfRule>
    <cfRule type="cellIs" dxfId="364" priority="298" operator="between">
      <formula>0.4</formula>
      <formula>0.59</formula>
    </cfRule>
  </conditionalFormatting>
  <conditionalFormatting sqref="D6">
    <cfRule type="colorScale" priority="32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7">
    <cfRule type="colorScale" priority="31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8">
    <cfRule type="colorScale" priority="30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9">
    <cfRule type="colorScale" priority="30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1">
    <cfRule type="colorScale" priority="24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1:D13">
    <cfRule type="cellIs" dxfId="363" priority="234" operator="between">
      <formula>0.6</formula>
      <formula>1</formula>
    </cfRule>
    <cfRule type="cellIs" dxfId="362" priority="235" operator="greaterThan">
      <formula>0.6</formula>
    </cfRule>
    <cfRule type="cellIs" dxfId="361" priority="233" operator="between">
      <formula>0.4</formula>
      <formula>0.59</formula>
    </cfRule>
    <cfRule type="cellIs" dxfId="360" priority="232" operator="between">
      <formula>0</formula>
      <formula>0.39</formula>
    </cfRule>
  </conditionalFormatting>
  <conditionalFormatting sqref="D12">
    <cfRule type="colorScale" priority="24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3">
    <cfRule type="colorScale" priority="23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5">
    <cfRule type="colorScale" priority="19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5:D21">
    <cfRule type="cellIs" dxfId="359" priority="142" operator="between">
      <formula>0</formula>
      <formula>0.39</formula>
    </cfRule>
    <cfRule type="cellIs" dxfId="358" priority="143" operator="between">
      <formula>0.4</formula>
      <formula>0.59</formula>
    </cfRule>
    <cfRule type="cellIs" dxfId="357" priority="144" operator="between">
      <formula>0.6</formula>
      <formula>1</formula>
    </cfRule>
    <cfRule type="cellIs" dxfId="356" priority="145" operator="greaterThan">
      <formula>0.6</formula>
    </cfRule>
  </conditionalFormatting>
  <conditionalFormatting sqref="D16">
    <cfRule type="colorScale" priority="19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7">
    <cfRule type="colorScale" priority="18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8">
    <cfRule type="colorScale" priority="16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9">
    <cfRule type="colorScale" priority="1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0">
    <cfRule type="colorScale" priority="15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1">
    <cfRule type="colorScale" priority="14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3">
    <cfRule type="cellIs" dxfId="355" priority="85" operator="greaterThan">
      <formula>0.6</formula>
    </cfRule>
    <cfRule type="colorScale" priority="86">
      <colorScale>
        <cfvo type="percent" val="40"/>
        <cfvo type="percent" val="100"/>
        <color theme="7" tint="0.39997558519241921"/>
        <color theme="9" tint="0.39997558519241921"/>
      </colorScale>
    </cfRule>
    <cfRule type="cellIs" dxfId="354" priority="83" operator="between">
      <formula>0.4</formula>
      <formula>0.59</formula>
    </cfRule>
    <cfRule type="cellIs" dxfId="353" priority="84" operator="between">
      <formula>0.6</formula>
      <formula>1</formula>
    </cfRule>
    <cfRule type="cellIs" dxfId="352" priority="82" operator="between">
      <formula>0</formula>
      <formula>0.39</formula>
    </cfRule>
  </conditionalFormatting>
  <conditionalFormatting sqref="D28">
    <cfRule type="colorScale" priority="3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8:D29">
    <cfRule type="cellIs" dxfId="351" priority="30" operator="greaterThan">
      <formula>0.6</formula>
    </cfRule>
    <cfRule type="cellIs" dxfId="350" priority="27" operator="between">
      <formula>0</formula>
      <formula>0.39</formula>
    </cfRule>
    <cfRule type="cellIs" dxfId="349" priority="29" operator="between">
      <formula>0.6</formula>
      <formula>1</formula>
    </cfRule>
    <cfRule type="cellIs" dxfId="348" priority="28" operator="between">
      <formula>0.4</formula>
      <formula>0.59</formula>
    </cfRule>
  </conditionalFormatting>
  <conditionalFormatting sqref="D29">
    <cfRule type="colorScale" priority="3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3">
    <cfRule type="cellIs" dxfId="342" priority="332" operator="between">
      <formula>0</formula>
      <formula>0.39</formula>
    </cfRule>
    <cfRule type="cellIs" dxfId="341" priority="334" operator="between">
      <formula>0.6</formula>
      <formula>1</formula>
    </cfRule>
    <cfRule type="cellIs" dxfId="340" priority="335" operator="greaterThan">
      <formula>0.6</formula>
    </cfRule>
    <cfRule type="colorScale" priority="336">
      <colorScale>
        <cfvo type="percent" val="40"/>
        <cfvo type="percent" val="100"/>
        <color theme="7" tint="0.39997558519241921"/>
        <color theme="9" tint="0.39997558519241921"/>
      </colorScale>
    </cfRule>
    <cfRule type="cellIs" dxfId="339" priority="333" operator="between">
      <formula>0.4</formula>
      <formula>0.59</formula>
    </cfRule>
  </conditionalFormatting>
  <conditionalFormatting sqref="F5">
    <cfRule type="colorScale" priority="331">
      <colorScale>
        <cfvo type="percent" val="40"/>
        <cfvo type="percent" val="100"/>
        <color theme="7" tint="0.39997558519241921"/>
        <color theme="9" tint="0.39997558519241921"/>
      </colorScale>
    </cfRule>
    <cfRule type="cellIs" dxfId="338" priority="329" operator="between">
      <formula>0.6</formula>
      <formula>1</formula>
    </cfRule>
    <cfRule type="cellIs" dxfId="337" priority="328" operator="between">
      <formula>0.4</formula>
      <formula>0.59</formula>
    </cfRule>
    <cfRule type="cellIs" dxfId="336" priority="330" operator="greaterThan">
      <formula>0.6</formula>
    </cfRule>
    <cfRule type="cellIs" dxfId="335" priority="327" operator="between">
      <formula>0</formula>
      <formula>0.39</formula>
    </cfRule>
  </conditionalFormatting>
  <conditionalFormatting sqref="F7">
    <cfRule type="colorScale" priority="29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7:F16">
    <cfRule type="cellIs" dxfId="334" priority="174" operator="between">
      <formula>0.6</formula>
      <formula>1</formula>
    </cfRule>
    <cfRule type="cellIs" dxfId="333" priority="173" operator="between">
      <formula>0.4</formula>
      <formula>0.59</formula>
    </cfRule>
    <cfRule type="cellIs" dxfId="332" priority="172" operator="between">
      <formula>0</formula>
      <formula>0.39</formula>
    </cfRule>
    <cfRule type="cellIs" dxfId="331" priority="175" operator="greaterThan">
      <formula>0.6</formula>
    </cfRule>
  </conditionalFormatting>
  <conditionalFormatting sqref="F8">
    <cfRule type="colorScale" priority="29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9">
    <cfRule type="colorScale" priority="28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0">
    <cfRule type="colorScale" priority="28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1">
    <cfRule type="colorScale" priority="22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2">
    <cfRule type="colorScale" priority="23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3">
    <cfRule type="colorScale" priority="22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4">
    <cfRule type="colorScale" priority="21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5">
    <cfRule type="colorScale" priority="18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6">
    <cfRule type="colorScale" priority="1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8">
    <cfRule type="colorScale" priority="14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8:F20">
    <cfRule type="cellIs" dxfId="330" priority="128" operator="between">
      <formula>0.4</formula>
      <formula>0.59</formula>
    </cfRule>
    <cfRule type="cellIs" dxfId="329" priority="127" operator="between">
      <formula>0</formula>
      <formula>0.39</formula>
    </cfRule>
    <cfRule type="cellIs" dxfId="328" priority="129" operator="between">
      <formula>0.6</formula>
      <formula>1</formula>
    </cfRule>
    <cfRule type="cellIs" dxfId="327" priority="130" operator="greaterThan">
      <formula>0.6</formula>
    </cfRule>
  </conditionalFormatting>
  <conditionalFormatting sqref="F19">
    <cfRule type="colorScale" priority="13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0">
    <cfRule type="colorScale" priority="13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3">
    <cfRule type="colorScale" priority="8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3:F27">
    <cfRule type="cellIs" dxfId="326" priority="50" operator="greaterThan">
      <formula>0.6</formula>
    </cfRule>
    <cfRule type="cellIs" dxfId="325" priority="49" operator="between">
      <formula>0.6</formula>
      <formula>1</formula>
    </cfRule>
    <cfRule type="cellIs" dxfId="324" priority="48" operator="between">
      <formula>0.4</formula>
      <formula>0.59</formula>
    </cfRule>
    <cfRule type="cellIs" dxfId="323" priority="47" operator="between">
      <formula>0</formula>
      <formula>0.39</formula>
    </cfRule>
  </conditionalFormatting>
  <conditionalFormatting sqref="F24">
    <cfRule type="colorScale" priority="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5">
    <cfRule type="colorScale" priority="6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6">
    <cfRule type="colorScale" priority="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7">
    <cfRule type="colorScale" priority="5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3:H4 F4 J3:J4">
    <cfRule type="colorScale" priority="36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7">
    <cfRule type="colorScale" priority="2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7:H8">
    <cfRule type="cellIs" dxfId="320" priority="270" operator="greaterThan">
      <formula>0.6</formula>
    </cfRule>
    <cfRule type="cellIs" dxfId="319" priority="267" operator="between">
      <formula>0</formula>
      <formula>0.39</formula>
    </cfRule>
    <cfRule type="cellIs" dxfId="318" priority="268" operator="between">
      <formula>0.4</formula>
      <formula>0.59</formula>
    </cfRule>
    <cfRule type="cellIs" dxfId="317" priority="269" operator="between">
      <formula>0.6</formula>
      <formula>1</formula>
    </cfRule>
  </conditionalFormatting>
  <conditionalFormatting sqref="H8">
    <cfRule type="colorScale" priority="27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11">
    <cfRule type="cellIs" dxfId="316" priority="209" operator="between">
      <formula>0.6</formula>
      <formula>1</formula>
    </cfRule>
    <cfRule type="cellIs" dxfId="315" priority="210" operator="greaterThan">
      <formula>0.6</formula>
    </cfRule>
    <cfRule type="colorScale" priority="211">
      <colorScale>
        <cfvo type="percent" val="40"/>
        <cfvo type="percent" val="100"/>
        <color theme="7" tint="0.39997558519241921"/>
        <color theme="9" tint="0.39997558519241921"/>
      </colorScale>
    </cfRule>
    <cfRule type="cellIs" dxfId="314" priority="207" operator="between">
      <formula>0</formula>
      <formula>0.39</formula>
    </cfRule>
    <cfRule type="cellIs" dxfId="313" priority="208" operator="between">
      <formula>0.4</formula>
      <formula>0.59</formula>
    </cfRule>
  </conditionalFormatting>
  <conditionalFormatting sqref="H18">
    <cfRule type="colorScale" priority="12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18:H25">
    <cfRule type="cellIs" dxfId="312" priority="42" operator="between">
      <formula>0</formula>
      <formula>0.39</formula>
    </cfRule>
    <cfRule type="cellIs" dxfId="311" priority="43" operator="between">
      <formula>0.4</formula>
      <formula>0.59</formula>
    </cfRule>
    <cfRule type="cellIs" dxfId="310" priority="44" operator="between">
      <formula>0.6</formula>
      <formula>1</formula>
    </cfRule>
    <cfRule type="cellIs" dxfId="309" priority="45" operator="greaterThan">
      <formula>0.6</formula>
    </cfRule>
  </conditionalFormatting>
  <conditionalFormatting sqref="H19">
    <cfRule type="colorScale" priority="12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0">
    <cfRule type="colorScale" priority="11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1">
    <cfRule type="colorScale" priority="11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2">
    <cfRule type="colorScale" priority="10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3">
    <cfRule type="colorScale" priority="7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4">
    <cfRule type="colorScale" priority="6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5">
    <cfRule type="colorScale" priority="4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8">
    <cfRule type="cellIs" dxfId="308" priority="25" operator="greaterThan">
      <formula>0.6</formula>
    </cfRule>
    <cfRule type="colorScale" priority="26">
      <colorScale>
        <cfvo type="percent" val="40"/>
        <cfvo type="percent" val="100"/>
        <color theme="7" tint="0.39997558519241921"/>
        <color theme="9" tint="0.39997558519241921"/>
      </colorScale>
    </cfRule>
    <cfRule type="cellIs" dxfId="307" priority="24" operator="between">
      <formula>0.6</formula>
      <formula>1</formula>
    </cfRule>
    <cfRule type="cellIs" dxfId="306" priority="23" operator="between">
      <formula>0.4</formula>
      <formula>0.59</formula>
    </cfRule>
    <cfRule type="cellIs" dxfId="305" priority="22" operator="between">
      <formula>0</formula>
      <formula>0.39</formula>
    </cfRule>
  </conditionalFormatting>
  <conditionalFormatting sqref="J7">
    <cfRule type="cellIs" dxfId="304" priority="262" operator="between">
      <formula>0</formula>
      <formula>0.39</formula>
    </cfRule>
    <cfRule type="colorScale" priority="266">
      <colorScale>
        <cfvo type="percent" val="40"/>
        <cfvo type="percent" val="100"/>
        <color theme="7" tint="0.39997558519241921"/>
        <color theme="9" tint="0.39997558519241921"/>
      </colorScale>
    </cfRule>
    <cfRule type="cellIs" dxfId="303" priority="265" operator="greaterThan">
      <formula>0.6</formula>
    </cfRule>
    <cfRule type="cellIs" dxfId="302" priority="264" operator="between">
      <formula>0.6</formula>
      <formula>1</formula>
    </cfRule>
    <cfRule type="cellIs" dxfId="301" priority="263" operator="between">
      <formula>0.4</formula>
      <formula>0.59</formula>
    </cfRule>
  </conditionalFormatting>
  <conditionalFormatting sqref="J11">
    <cfRule type="cellIs" dxfId="300" priority="203" operator="between">
      <formula>0.4</formula>
      <formula>0.59</formula>
    </cfRule>
    <cfRule type="cellIs" dxfId="299" priority="204" operator="between">
      <formula>0.6</formula>
      <formula>1</formula>
    </cfRule>
    <cfRule type="cellIs" dxfId="298" priority="205" operator="greaterThan">
      <formula>0.6</formula>
    </cfRule>
    <cfRule type="colorScale" priority="206">
      <colorScale>
        <cfvo type="percent" val="40"/>
        <cfvo type="percent" val="100"/>
        <color theme="7" tint="0.39997558519241921"/>
        <color theme="9" tint="0.39997558519241921"/>
      </colorScale>
    </cfRule>
    <cfRule type="cellIs" dxfId="297" priority="202" operator="between">
      <formula>0</formula>
      <formula>0.39</formula>
    </cfRule>
  </conditionalFormatting>
  <conditionalFormatting sqref="J18">
    <cfRule type="colorScale" priority="10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18:J19">
    <cfRule type="cellIs" dxfId="296" priority="92" operator="between">
      <formula>0</formula>
      <formula>0.39</formula>
    </cfRule>
    <cfRule type="cellIs" dxfId="295" priority="93" operator="between">
      <formula>0.4</formula>
      <formula>0.59</formula>
    </cfRule>
    <cfRule type="cellIs" dxfId="294" priority="94" operator="between">
      <formula>0.6</formula>
      <formula>1</formula>
    </cfRule>
    <cfRule type="cellIs" dxfId="293" priority="95" operator="greaterThan">
      <formula>0.6</formula>
    </cfRule>
  </conditionalFormatting>
  <conditionalFormatting sqref="J19">
    <cfRule type="colorScale" priority="9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28">
    <cfRule type="colorScale" priority="2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28:J29">
    <cfRule type="cellIs" dxfId="292" priority="12" operator="between">
      <formula>0</formula>
      <formula>0.39</formula>
    </cfRule>
    <cfRule type="cellIs" dxfId="291" priority="13" operator="between">
      <formula>0.4</formula>
      <formula>0.59</formula>
    </cfRule>
    <cfRule type="cellIs" dxfId="290" priority="14" operator="between">
      <formula>0.6</formula>
      <formula>1</formula>
    </cfRule>
    <cfRule type="cellIs" dxfId="289" priority="15" operator="greaterThan">
      <formula>0.6</formula>
    </cfRule>
  </conditionalFormatting>
  <conditionalFormatting sqref="J29">
    <cfRule type="colorScale" priority="16">
      <colorScale>
        <cfvo type="percent" val="40"/>
        <cfvo type="percent" val="100"/>
        <color theme="7" tint="0.39997558519241921"/>
        <color theme="9" tint="0.39997558519241921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605805F7-4E7A-4C8A-96F5-F83BE837D1C2}">
            <xm:f>'Коллеги_%'!$D$26&gt;=10%</xm:f>
            <x14:dxf>
              <fill>
                <patternFill>
                  <bgColor rgb="FFFF0000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expression" priority="10" id="{DF19BDA9-E786-467D-B7B3-D41FAABE6F74}">
            <xm:f>'Коллеги_%'!$D$28&gt;=10%</xm:f>
            <x14:dxf>
              <fill>
                <patternFill>
                  <bgColor rgb="FFFF0000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expression" priority="4" id="{051D6872-E813-4ECA-88ED-45DF6C460089}">
            <xm:f>'Коллеги_%'!$D$30&gt;=10%</xm:f>
            <x14:dxf>
              <fill>
                <patternFill>
                  <bgColor rgb="FFFF0000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expression" priority="2" id="{54EAAC64-C5C8-4D80-83B1-B299FB5019DA}">
            <xm:f>'Коллеги_%'!$D$49&gt;=10%</xm:f>
            <x14:dxf>
              <fill>
                <patternFill>
                  <bgColor rgb="FFFF0000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expression" priority="11" id="{D8B7C1A9-FC39-46D3-8F87-687FB36497E6}">
            <xm:f>'Коллеги_%'!$D$25&gt;=10%</xm:f>
            <x14:dxf>
              <fill>
                <patternFill>
                  <bgColor rgb="FFFF000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expression" priority="8" id="{ECDC0227-3255-4288-AFE2-83C5CDD46DEF}">
            <xm:f>'Коллеги_%'!$D$27&gt;=10%</xm:f>
            <x14:dxf>
              <fill>
                <patternFill>
                  <bgColor rgb="FFFF000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28AD03BF-FB49-4F94-B8CE-D9F9B98C7656}">
            <xm:f>'Коллеги_%'!$D$29&gt;=10%</xm:f>
            <x14:dxf>
              <fill>
                <patternFill>
                  <bgColor rgb="FFFF000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3" id="{E75786A7-FE4B-4B7B-970B-C9832911F44D}">
            <xm:f>'Коллеги_%'!$D$31&gt;=10%</xm:f>
            <x14:dxf>
              <fill>
                <patternFill>
                  <bgColor rgb="FFFF0000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expression" priority="1" id="{39F7F763-1F1D-4B63-8E3B-36DE0AA53A6C}">
            <xm:f>'Коллеги_%'!$D$45&gt;=10%</xm:f>
            <x14:dxf>
              <fill>
                <patternFill>
                  <bgColor rgb="FFFF0000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expression" priority="7" id="{08BA2F89-9625-4A27-8D0C-1D35CEB0A41D}">
            <xm:f>'Коллеги_%'!$D$33&gt;=10%</xm:f>
            <x14:dxf>
              <fill>
                <patternFill>
                  <bgColor rgb="FFFF0000"/>
                </patternFill>
              </fill>
            </x14:dxf>
          </x14:cfRule>
          <xm:sqref>G3</xm:sqref>
        </x14:conditionalFormatting>
        <x14:conditionalFormatting xmlns:xm="http://schemas.microsoft.com/office/excel/2006/main">
          <x14:cfRule type="expression" priority="6" id="{33152094-1110-4582-9BB8-BFFD0C85B6D0}">
            <xm:f>'Коллеги_%'!$D$32&gt;=10%</xm:f>
            <x14:dxf>
              <fill>
                <patternFill>
                  <bgColor rgb="FFFF0000"/>
                </patternFill>
              </fill>
            </x14:dxf>
          </x14:cfRule>
          <xm:sqref>G5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838-2A83-4B8F-904C-3BA9CB4F8EC4}">
  <sheetPr codeName="Sheet6"/>
  <dimension ref="A1:M61"/>
  <sheetViews>
    <sheetView zoomScale="70" zoomScaleNormal="70" workbookViewId="0">
      <selection activeCell="A12" sqref="A12:A15"/>
    </sheetView>
  </sheetViews>
  <sheetFormatPr defaultRowHeight="15" x14ac:dyDescent="0.25"/>
  <cols>
    <col min="1" max="1" width="34.140625" customWidth="1"/>
    <col min="2" max="2" width="7.5703125" style="106" customWidth="1"/>
    <col min="3" max="3" width="38.140625" style="98" customWidth="1"/>
    <col min="4" max="4" width="7.5703125" style="106" customWidth="1"/>
    <col min="5" max="5" width="38.140625" style="98" customWidth="1"/>
    <col min="6" max="6" width="7.5703125" style="106" customWidth="1"/>
    <col min="7" max="7" width="38.140625" style="98" customWidth="1"/>
    <col min="8" max="8" width="7.5703125" style="106" customWidth="1"/>
    <col min="9" max="9" width="38.140625" style="98" customWidth="1"/>
    <col min="10" max="10" width="7.5703125" style="106" customWidth="1"/>
    <col min="11" max="11" width="38.140625" style="98" customWidth="1"/>
    <col min="12" max="12" width="30.140625" style="113" customWidth="1"/>
    <col min="13" max="13" width="41.85546875" style="116" customWidth="1"/>
  </cols>
  <sheetData>
    <row r="1" spans="1:13" ht="57" customHeight="1" x14ac:dyDescent="0.25">
      <c r="A1" s="176" t="s">
        <v>380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8"/>
    </row>
    <row r="2" spans="1:13" s="86" customFormat="1" ht="149.1" customHeight="1" thickBot="1" x14ac:dyDescent="0.3">
      <c r="A2" s="192" t="s">
        <v>384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4"/>
    </row>
    <row r="3" spans="1:13" s="86" customFormat="1" ht="20.100000000000001" customHeight="1" x14ac:dyDescent="0.25">
      <c r="A3" s="134" t="s">
        <v>377</v>
      </c>
      <c r="B3" s="183" t="s">
        <v>383</v>
      </c>
      <c r="C3" s="184"/>
      <c r="D3" s="185"/>
      <c r="E3" s="127" t="s">
        <v>355</v>
      </c>
      <c r="F3" s="195" t="s">
        <v>360</v>
      </c>
      <c r="G3" s="195"/>
      <c r="H3" s="196"/>
      <c r="I3" s="140"/>
      <c r="J3" s="140"/>
      <c r="K3" s="140"/>
      <c r="L3" s="133"/>
      <c r="M3" s="137"/>
    </row>
    <row r="4" spans="1:13" s="86" customFormat="1" ht="18.95" customHeight="1" x14ac:dyDescent="0.25">
      <c r="A4" s="135" t="s">
        <v>378</v>
      </c>
      <c r="B4" s="186" t="s">
        <v>382</v>
      </c>
      <c r="C4" s="187"/>
      <c r="D4" s="188"/>
      <c r="E4" s="128" t="s">
        <v>356</v>
      </c>
      <c r="F4" s="179" t="s">
        <v>361</v>
      </c>
      <c r="G4" s="179"/>
      <c r="H4" s="180"/>
      <c r="I4" s="140"/>
      <c r="J4" s="140"/>
      <c r="K4" s="140"/>
      <c r="L4" s="133"/>
      <c r="M4" s="137"/>
    </row>
    <row r="5" spans="1:13" s="86" customFormat="1" ht="21" customHeight="1" thickBot="1" x14ac:dyDescent="0.3">
      <c r="A5" s="136" t="s">
        <v>379</v>
      </c>
      <c r="B5" s="189" t="s">
        <v>381</v>
      </c>
      <c r="C5" s="190"/>
      <c r="D5" s="191"/>
      <c r="E5" s="129" t="s">
        <v>357</v>
      </c>
      <c r="F5" s="181" t="s">
        <v>362</v>
      </c>
      <c r="G5" s="181"/>
      <c r="H5" s="182"/>
      <c r="I5" s="140"/>
      <c r="J5" s="140"/>
      <c r="K5" s="140"/>
      <c r="L5" s="133"/>
      <c r="M5" s="137"/>
    </row>
    <row r="6" spans="1:13" s="86" customFormat="1" ht="30.6" customHeight="1" x14ac:dyDescent="0.25">
      <c r="A6" s="132" t="s">
        <v>266</v>
      </c>
      <c r="B6" s="91"/>
      <c r="C6" s="92" t="s">
        <v>267</v>
      </c>
      <c r="D6" s="91"/>
      <c r="E6" s="131" t="s">
        <v>268</v>
      </c>
      <c r="F6" s="132"/>
      <c r="G6" s="131" t="s">
        <v>269</v>
      </c>
      <c r="H6" s="91"/>
      <c r="I6" s="92" t="s">
        <v>270</v>
      </c>
      <c r="J6" s="91"/>
      <c r="K6" s="92" t="s">
        <v>271</v>
      </c>
      <c r="L6" s="130" t="s">
        <v>373</v>
      </c>
      <c r="M6" s="130" t="s">
        <v>375</v>
      </c>
    </row>
    <row r="7" spans="1:13" s="86" customFormat="1" ht="33.950000000000003" customHeight="1" thickBot="1" x14ac:dyDescent="0.3">
      <c r="A7" s="138" t="s">
        <v>376</v>
      </c>
      <c r="B7" s="96"/>
      <c r="C7" s="93" t="s">
        <v>273</v>
      </c>
      <c r="D7" s="107"/>
      <c r="E7" s="93" t="s">
        <v>274</v>
      </c>
      <c r="F7" s="107"/>
      <c r="G7" s="93" t="s">
        <v>275</v>
      </c>
      <c r="H7" s="139"/>
      <c r="I7" s="112" t="s">
        <v>276</v>
      </c>
      <c r="J7" s="139"/>
      <c r="K7" s="112" t="s">
        <v>276</v>
      </c>
      <c r="L7" s="126"/>
      <c r="M7" s="126"/>
    </row>
    <row r="8" spans="1:13" ht="68.099999999999994" customHeight="1" x14ac:dyDescent="0.25">
      <c r="A8" s="165" t="s">
        <v>277</v>
      </c>
      <c r="B8" s="109">
        <f>'Коллеги_%'!D26</f>
        <v>0</v>
      </c>
      <c r="C8" s="110" t="s">
        <v>278</v>
      </c>
      <c r="D8" s="109">
        <f>'Коллеги_%'!D25</f>
        <v>0</v>
      </c>
      <c r="E8" s="110" t="s">
        <v>279</v>
      </c>
      <c r="F8" s="109">
        <f>'Коллеги_%'!D33</f>
        <v>0</v>
      </c>
      <c r="G8" s="110" t="s">
        <v>280</v>
      </c>
      <c r="H8" s="123"/>
      <c r="I8" s="124"/>
      <c r="J8" s="123"/>
      <c r="K8" s="124"/>
      <c r="L8" s="170" t="s">
        <v>371</v>
      </c>
      <c r="M8" s="173"/>
    </row>
    <row r="9" spans="1:13" ht="93.95" customHeight="1" thickBot="1" x14ac:dyDescent="0.3">
      <c r="A9" s="166"/>
      <c r="B9" s="111">
        <f>'Коллеги_%'!D28</f>
        <v>0</v>
      </c>
      <c r="C9" s="112" t="s">
        <v>281</v>
      </c>
      <c r="D9" s="111">
        <f>'Коллеги_%'!D27</f>
        <v>0</v>
      </c>
      <c r="E9" s="112" t="s">
        <v>282</v>
      </c>
      <c r="F9" s="122"/>
      <c r="G9" s="121"/>
      <c r="H9" s="120"/>
      <c r="I9" s="121"/>
      <c r="J9" s="120"/>
      <c r="K9" s="121"/>
      <c r="L9" s="172"/>
      <c r="M9" s="174"/>
    </row>
    <row r="10" spans="1:13" ht="80.099999999999994" customHeight="1" x14ac:dyDescent="0.25">
      <c r="A10" s="165" t="s">
        <v>283</v>
      </c>
      <c r="B10" s="109">
        <f>'Коллеги_%'!D30</f>
        <v>0</v>
      </c>
      <c r="C10" s="110" t="s">
        <v>284</v>
      </c>
      <c r="D10" s="109">
        <f>'Коллеги_%'!D29</f>
        <v>0</v>
      </c>
      <c r="E10" s="110" t="s">
        <v>285</v>
      </c>
      <c r="F10" s="109">
        <f>'Коллеги_%'!D32</f>
        <v>0</v>
      </c>
      <c r="G10" s="110" t="s">
        <v>286</v>
      </c>
      <c r="H10" s="123"/>
      <c r="I10" s="124"/>
      <c r="J10" s="123"/>
      <c r="K10" s="124"/>
      <c r="L10" s="170" t="s">
        <v>370</v>
      </c>
      <c r="M10" s="173"/>
    </row>
    <row r="11" spans="1:13" ht="68.099999999999994" customHeight="1" thickBot="1" x14ac:dyDescent="0.3">
      <c r="A11" s="166"/>
      <c r="B11" s="120"/>
      <c r="C11" s="121"/>
      <c r="D11" s="111">
        <f>'Коллеги_%'!D31</f>
        <v>0</v>
      </c>
      <c r="E11" s="112" t="s">
        <v>287</v>
      </c>
      <c r="F11" s="120"/>
      <c r="G11" s="121"/>
      <c r="H11" s="120"/>
      <c r="I11" s="121"/>
      <c r="J11" s="120"/>
      <c r="K11" s="121"/>
      <c r="L11" s="172"/>
      <c r="M11" s="174"/>
    </row>
    <row r="12" spans="1:13" ht="75" customHeight="1" x14ac:dyDescent="0.25">
      <c r="A12" s="165" t="s">
        <v>288</v>
      </c>
      <c r="B12" s="109">
        <f>'Коллеги_%'!D49</f>
        <v>0</v>
      </c>
      <c r="C12" s="110" t="s">
        <v>289</v>
      </c>
      <c r="D12" s="109">
        <f>'Коллеги_%'!D40</f>
        <v>0</v>
      </c>
      <c r="E12" s="110" t="s">
        <v>290</v>
      </c>
      <c r="F12" s="109">
        <f>'Коллеги_%'!D41</f>
        <v>0</v>
      </c>
      <c r="G12" s="110" t="s">
        <v>291</v>
      </c>
      <c r="H12" s="109">
        <f>'Коллеги_%'!D43</f>
        <v>0</v>
      </c>
      <c r="I12" s="110" t="s">
        <v>292</v>
      </c>
      <c r="J12" s="109">
        <f>'Коллеги_%'!D44</f>
        <v>0</v>
      </c>
      <c r="K12" s="110" t="s">
        <v>293</v>
      </c>
      <c r="L12" s="170" t="s">
        <v>371</v>
      </c>
      <c r="M12" s="173"/>
    </row>
    <row r="13" spans="1:13" ht="78.599999999999994" customHeight="1" x14ac:dyDescent="0.25">
      <c r="A13" s="167"/>
      <c r="B13" s="118"/>
      <c r="C13" s="119"/>
      <c r="D13" s="94">
        <f>'Коллеги_%'!D45</f>
        <v>0</v>
      </c>
      <c r="E13" s="93" t="s">
        <v>294</v>
      </c>
      <c r="F13" s="94">
        <f>'Коллеги_%'!D50</f>
        <v>0</v>
      </c>
      <c r="G13" s="93" t="s">
        <v>295</v>
      </c>
      <c r="H13" s="94">
        <f>'Коллеги_%'!D48</f>
        <v>0</v>
      </c>
      <c r="I13" s="93" t="s">
        <v>296</v>
      </c>
      <c r="J13" s="108"/>
      <c r="K13" s="95" t="s">
        <v>297</v>
      </c>
      <c r="L13" s="171"/>
      <c r="M13" s="175"/>
    </row>
    <row r="14" spans="1:13" ht="49.5" customHeight="1" x14ac:dyDescent="0.25">
      <c r="A14" s="167"/>
      <c r="B14" s="118"/>
      <c r="C14" s="119"/>
      <c r="D14" s="94">
        <f>'Коллеги_%'!D46</f>
        <v>0</v>
      </c>
      <c r="E14" s="93" t="s">
        <v>298</v>
      </c>
      <c r="F14" s="94">
        <f>'Коллеги_%'!D42</f>
        <v>0</v>
      </c>
      <c r="G14" s="93" t="s">
        <v>299</v>
      </c>
      <c r="H14" s="118"/>
      <c r="I14" s="119"/>
      <c r="J14" s="118"/>
      <c r="K14" s="119"/>
      <c r="L14" s="171"/>
      <c r="M14" s="175"/>
    </row>
    <row r="15" spans="1:13" ht="38.450000000000003" customHeight="1" thickBot="1" x14ac:dyDescent="0.3">
      <c r="A15" s="166"/>
      <c r="B15" s="120"/>
      <c r="C15" s="121"/>
      <c r="D15" s="120"/>
      <c r="E15" s="121"/>
      <c r="F15" s="111">
        <f>'Коллеги_%'!D47</f>
        <v>0</v>
      </c>
      <c r="G15" s="112" t="s">
        <v>351</v>
      </c>
      <c r="H15" s="120"/>
      <c r="I15" s="121"/>
      <c r="J15" s="120"/>
      <c r="K15" s="121"/>
      <c r="L15" s="172"/>
      <c r="M15" s="174"/>
    </row>
    <row r="16" spans="1:13" ht="139.5" customHeight="1" x14ac:dyDescent="0.25">
      <c r="A16" s="165" t="s">
        <v>300</v>
      </c>
      <c r="B16" s="109">
        <f>'Коллеги_%'!D74</f>
        <v>0</v>
      </c>
      <c r="C16" s="110" t="s">
        <v>208</v>
      </c>
      <c r="D16" s="109">
        <f>'Коллеги_%'!D75</f>
        <v>0</v>
      </c>
      <c r="E16" s="110" t="s">
        <v>302</v>
      </c>
      <c r="F16" s="109"/>
      <c r="G16" s="110" t="s">
        <v>367</v>
      </c>
      <c r="H16" s="109">
        <f>'Коллеги_%'!D76</f>
        <v>0</v>
      </c>
      <c r="I16" s="110" t="s">
        <v>304</v>
      </c>
      <c r="J16" s="109">
        <f>'Коллеги_%'!D83</f>
        <v>0</v>
      </c>
      <c r="K16" s="110" t="s">
        <v>153</v>
      </c>
      <c r="L16" s="170" t="s">
        <v>370</v>
      </c>
      <c r="M16" s="173"/>
    </row>
    <row r="17" spans="1:13" ht="68.099999999999994" customHeight="1" x14ac:dyDescent="0.25">
      <c r="A17" s="167"/>
      <c r="B17" s="94">
        <f>'Коллеги_%'!D77</f>
        <v>0</v>
      </c>
      <c r="C17" s="93" t="s">
        <v>305</v>
      </c>
      <c r="D17" s="94">
        <f>'Коллеги_%'!D78</f>
        <v>0</v>
      </c>
      <c r="E17" s="93" t="s">
        <v>306</v>
      </c>
      <c r="F17" s="94">
        <f>'Коллеги_%'!D80</f>
        <v>0</v>
      </c>
      <c r="G17" s="93" t="s">
        <v>307</v>
      </c>
      <c r="H17" s="118"/>
      <c r="I17" s="119"/>
      <c r="J17" s="118"/>
      <c r="K17" s="119"/>
      <c r="L17" s="171"/>
      <c r="M17" s="175"/>
    </row>
    <row r="18" spans="1:13" ht="77.45" customHeight="1" x14ac:dyDescent="0.25">
      <c r="A18" s="167"/>
      <c r="B18" s="94">
        <f>'Коллеги_%'!D84</f>
        <v>0</v>
      </c>
      <c r="C18" s="93" t="s">
        <v>308</v>
      </c>
      <c r="D18" s="94">
        <f>'Коллеги_%'!D79</f>
        <v>0</v>
      </c>
      <c r="E18" s="93" t="s">
        <v>309</v>
      </c>
      <c r="F18" s="94">
        <f>'Коллеги_%'!D81</f>
        <v>0</v>
      </c>
      <c r="G18" s="93" t="s">
        <v>310</v>
      </c>
      <c r="H18" s="118"/>
      <c r="I18" s="119"/>
      <c r="J18" s="118"/>
      <c r="K18" s="119"/>
      <c r="L18" s="171"/>
      <c r="M18" s="175"/>
    </row>
    <row r="19" spans="1:13" ht="51" customHeight="1" thickBot="1" x14ac:dyDescent="0.3">
      <c r="A19" s="166"/>
      <c r="B19" s="120"/>
      <c r="C19" s="121"/>
      <c r="D19" s="120"/>
      <c r="E19" s="121"/>
      <c r="F19" s="111">
        <f>'Коллеги_%'!D82</f>
        <v>0</v>
      </c>
      <c r="G19" s="112" t="s">
        <v>311</v>
      </c>
      <c r="H19" s="120"/>
      <c r="I19" s="121"/>
      <c r="J19" s="120"/>
      <c r="K19" s="121"/>
      <c r="L19" s="172"/>
      <c r="M19" s="174"/>
    </row>
    <row r="20" spans="1:13" ht="108.6" customHeight="1" x14ac:dyDescent="0.25">
      <c r="A20" s="165" t="s">
        <v>312</v>
      </c>
      <c r="B20" s="109">
        <f>'Коллеги_%'!D97</f>
        <v>0</v>
      </c>
      <c r="C20" s="110" t="s">
        <v>256</v>
      </c>
      <c r="D20" s="109">
        <f>'Коллеги_%'!D98</f>
        <v>0</v>
      </c>
      <c r="E20" s="110" t="s">
        <v>374</v>
      </c>
      <c r="F20" s="109">
        <f>'Коллеги_%'!D99</f>
        <v>0</v>
      </c>
      <c r="G20" s="110" t="s">
        <v>314</v>
      </c>
      <c r="H20" s="123"/>
      <c r="I20" s="124"/>
      <c r="J20" s="123"/>
      <c r="K20" s="124"/>
      <c r="L20" s="170" t="s">
        <v>372</v>
      </c>
      <c r="M20" s="173"/>
    </row>
    <row r="21" spans="1:13" ht="94.5" customHeight="1" x14ac:dyDescent="0.25">
      <c r="A21" s="167"/>
      <c r="B21" s="118"/>
      <c r="C21" s="119"/>
      <c r="D21" s="94">
        <f>'Коллеги_%'!D100</f>
        <v>0</v>
      </c>
      <c r="E21" s="93" t="s">
        <v>315</v>
      </c>
      <c r="F21" s="94">
        <f>'Коллеги_%'!D101</f>
        <v>0</v>
      </c>
      <c r="G21" s="93" t="s">
        <v>316</v>
      </c>
      <c r="H21" s="118"/>
      <c r="I21" s="119"/>
      <c r="J21" s="118"/>
      <c r="K21" s="119"/>
      <c r="L21" s="171"/>
      <c r="M21" s="175"/>
    </row>
    <row r="22" spans="1:13" ht="36.950000000000003" customHeight="1" thickBot="1" x14ac:dyDescent="0.3">
      <c r="A22" s="166"/>
      <c r="B22" s="120"/>
      <c r="C22" s="121"/>
      <c r="D22" s="111">
        <f>'Коллеги_%'!D99</f>
        <v>0</v>
      </c>
      <c r="E22" s="112" t="s">
        <v>317</v>
      </c>
      <c r="F22" s="120"/>
      <c r="G22" s="121"/>
      <c r="H22" s="120"/>
      <c r="I22" s="121"/>
      <c r="J22" s="120"/>
      <c r="K22" s="121"/>
      <c r="L22" s="172"/>
      <c r="M22" s="174"/>
    </row>
    <row r="23" spans="1:13" ht="95.45" customHeight="1" x14ac:dyDescent="0.25">
      <c r="A23" s="165" t="s">
        <v>318</v>
      </c>
      <c r="B23" s="109">
        <f>'Коллеги_%'!D57</f>
        <v>0</v>
      </c>
      <c r="C23" s="110" t="s">
        <v>319</v>
      </c>
      <c r="D23" s="109">
        <f>'Коллеги_%'!D58</f>
        <v>0</v>
      </c>
      <c r="E23" s="110" t="s">
        <v>320</v>
      </c>
      <c r="F23" s="109">
        <f>'Коллеги_%'!D56</f>
        <v>0</v>
      </c>
      <c r="G23" s="110" t="s">
        <v>321</v>
      </c>
      <c r="H23" s="109">
        <f>'Коллеги_%'!D55</f>
        <v>0</v>
      </c>
      <c r="I23" s="110" t="s">
        <v>322</v>
      </c>
      <c r="J23" s="109">
        <f>'Коллеги_%'!D69</f>
        <v>0</v>
      </c>
      <c r="K23" s="110" t="s">
        <v>323</v>
      </c>
      <c r="L23" s="170" t="s">
        <v>371</v>
      </c>
      <c r="M23" s="173"/>
    </row>
    <row r="24" spans="1:13" ht="77.45" customHeight="1" x14ac:dyDescent="0.25">
      <c r="A24" s="168"/>
      <c r="B24" s="94">
        <f>'Коллеги_%'!D68</f>
        <v>0</v>
      </c>
      <c r="C24" s="93" t="s">
        <v>324</v>
      </c>
      <c r="D24" s="94">
        <f>'Коллеги_%'!D63</f>
        <v>0</v>
      </c>
      <c r="E24" s="93" t="s">
        <v>325</v>
      </c>
      <c r="F24" s="94">
        <f>'Коллеги_%'!D60</f>
        <v>0</v>
      </c>
      <c r="G24" s="93" t="s">
        <v>326</v>
      </c>
      <c r="H24" s="94">
        <f>'Коллеги_%'!D59</f>
        <v>0</v>
      </c>
      <c r="I24" s="93" t="s">
        <v>327</v>
      </c>
      <c r="J24" s="94">
        <f>'Коллеги_%'!D70</f>
        <v>0</v>
      </c>
      <c r="K24" s="93" t="s">
        <v>328</v>
      </c>
      <c r="L24" s="171"/>
      <c r="M24" s="175"/>
    </row>
    <row r="25" spans="1:13" ht="39.950000000000003" customHeight="1" x14ac:dyDescent="0.25">
      <c r="A25" s="168"/>
      <c r="B25" s="118"/>
      <c r="C25" s="119"/>
      <c r="D25" s="94">
        <f>'Коллеги_%'!D66</f>
        <v>0</v>
      </c>
      <c r="E25" s="93" t="s">
        <v>352</v>
      </c>
      <c r="F25" s="94">
        <f>'Коллеги_%'!D61</f>
        <v>0</v>
      </c>
      <c r="G25" s="93" t="s">
        <v>329</v>
      </c>
      <c r="H25" s="94">
        <f>'Коллеги_%'!D62</f>
        <v>0</v>
      </c>
      <c r="I25" s="93" t="s">
        <v>330</v>
      </c>
      <c r="J25" s="118"/>
      <c r="K25" s="119"/>
      <c r="L25" s="171"/>
      <c r="M25" s="175"/>
    </row>
    <row r="26" spans="1:13" ht="50.1" customHeight="1" x14ac:dyDescent="0.25">
      <c r="A26" s="168"/>
      <c r="B26" s="118"/>
      <c r="C26" s="119"/>
      <c r="D26" s="94">
        <f>'Коллеги_%'!D67</f>
        <v>0</v>
      </c>
      <c r="E26" s="93" t="s">
        <v>331</v>
      </c>
      <c r="F26" s="118"/>
      <c r="G26" s="119"/>
      <c r="H26" s="94">
        <f>'Коллеги_%'!D64</f>
        <v>0</v>
      </c>
      <c r="I26" s="93" t="s">
        <v>332</v>
      </c>
      <c r="J26" s="118"/>
      <c r="K26" s="119"/>
      <c r="L26" s="171"/>
      <c r="M26" s="175"/>
    </row>
    <row r="27" spans="1:13" ht="54.95" customHeight="1" thickBot="1" x14ac:dyDescent="0.3">
      <c r="A27" s="169"/>
      <c r="B27" s="120"/>
      <c r="C27" s="121"/>
      <c r="D27" s="120"/>
      <c r="E27" s="121"/>
      <c r="F27" s="120"/>
      <c r="G27" s="121"/>
      <c r="H27" s="111">
        <f>'Коллеги_%'!D65</f>
        <v>0</v>
      </c>
      <c r="I27" s="112" t="s">
        <v>353</v>
      </c>
      <c r="J27" s="120"/>
      <c r="K27" s="121"/>
      <c r="L27" s="172"/>
      <c r="M27" s="174"/>
    </row>
    <row r="28" spans="1:13" ht="59.1" customHeight="1" x14ac:dyDescent="0.25">
      <c r="A28" s="165" t="s">
        <v>333</v>
      </c>
      <c r="B28" s="109">
        <f>'Коллеги_%'!D91</f>
        <v>0</v>
      </c>
      <c r="C28" s="110" t="s">
        <v>334</v>
      </c>
      <c r="D28" s="109">
        <f>'Коллеги_%'!D92</f>
        <v>0</v>
      </c>
      <c r="E28" s="110" t="s">
        <v>335</v>
      </c>
      <c r="F28" s="109">
        <f>'Коллеги_%'!D88</f>
        <v>0</v>
      </c>
      <c r="G28" s="110" t="s">
        <v>336</v>
      </c>
      <c r="H28" s="109">
        <f>'Коллеги_%'!D90</f>
        <v>0</v>
      </c>
      <c r="I28" s="110" t="s">
        <v>337</v>
      </c>
      <c r="J28" s="123"/>
      <c r="K28" s="124"/>
      <c r="L28" s="170" t="s">
        <v>370</v>
      </c>
      <c r="M28" s="173"/>
    </row>
    <row r="29" spans="1:13" ht="106.5" customHeight="1" thickBot="1" x14ac:dyDescent="0.3">
      <c r="A29" s="166"/>
      <c r="B29" s="120"/>
      <c r="C29" s="121"/>
      <c r="D29" s="120"/>
      <c r="E29" s="121"/>
      <c r="F29" s="111">
        <f>'Коллеги_%'!D89</f>
        <v>0</v>
      </c>
      <c r="G29" s="112" t="s">
        <v>338</v>
      </c>
      <c r="H29" s="111">
        <f>'Коллеги_%'!D93</f>
        <v>0</v>
      </c>
      <c r="I29" s="112" t="s">
        <v>339</v>
      </c>
      <c r="J29" s="120"/>
      <c r="K29" s="121"/>
      <c r="L29" s="172"/>
      <c r="M29" s="174"/>
    </row>
    <row r="30" spans="1:13" ht="82.5" customHeight="1" x14ac:dyDescent="0.25">
      <c r="A30" s="165" t="s">
        <v>340</v>
      </c>
      <c r="B30" s="125"/>
      <c r="C30" s="124"/>
      <c r="D30" s="123"/>
      <c r="E30" s="124"/>
      <c r="F30" s="109">
        <f>'Коллеги_%'!D114</f>
        <v>0</v>
      </c>
      <c r="G30" s="110" t="s">
        <v>261</v>
      </c>
      <c r="H30" s="109">
        <f>'Коллеги_%'!D116</f>
        <v>0</v>
      </c>
      <c r="I30" s="110" t="s">
        <v>341</v>
      </c>
      <c r="J30" s="123"/>
      <c r="K30" s="124"/>
      <c r="L30" s="170" t="s">
        <v>372</v>
      </c>
      <c r="M30" s="173"/>
    </row>
    <row r="31" spans="1:13" ht="49.5" customHeight="1" x14ac:dyDescent="0.25">
      <c r="A31" s="167"/>
      <c r="B31" s="118"/>
      <c r="C31" s="119"/>
      <c r="D31" s="118"/>
      <c r="E31" s="119"/>
      <c r="F31" s="94">
        <f>'Коллеги_%'!D117</f>
        <v>0</v>
      </c>
      <c r="G31" s="93" t="s">
        <v>342</v>
      </c>
      <c r="H31" s="118"/>
      <c r="I31" s="119"/>
      <c r="J31" s="118"/>
      <c r="K31" s="119"/>
      <c r="L31" s="171"/>
      <c r="M31" s="175"/>
    </row>
    <row r="32" spans="1:13" ht="56.1" customHeight="1" thickBot="1" x14ac:dyDescent="0.3">
      <c r="A32" s="166"/>
      <c r="B32" s="120"/>
      <c r="C32" s="121"/>
      <c r="D32" s="120"/>
      <c r="E32" s="121"/>
      <c r="F32" s="111">
        <f>'Коллеги_%'!D115</f>
        <v>0</v>
      </c>
      <c r="G32" s="112" t="s">
        <v>343</v>
      </c>
      <c r="H32" s="120"/>
      <c r="I32" s="121"/>
      <c r="J32" s="120"/>
      <c r="K32" s="121"/>
      <c r="L32" s="172"/>
      <c r="M32" s="175"/>
    </row>
    <row r="33" spans="1:13" ht="54.6" customHeight="1" x14ac:dyDescent="0.25">
      <c r="A33" s="165" t="s">
        <v>344</v>
      </c>
      <c r="B33" s="109">
        <f>'Коллеги_%'!D105</f>
        <v>0</v>
      </c>
      <c r="C33" s="110" t="s">
        <v>345</v>
      </c>
      <c r="D33" s="109">
        <f>'Коллеги_%'!D106</f>
        <v>0</v>
      </c>
      <c r="E33" s="110" t="s">
        <v>346</v>
      </c>
      <c r="F33" s="123"/>
      <c r="G33" s="124"/>
      <c r="H33" s="109">
        <f>'Коллеги_%'!D108</f>
        <v>0</v>
      </c>
      <c r="I33" s="110" t="s">
        <v>347</v>
      </c>
      <c r="J33" s="109">
        <f>'Коллеги_%'!D109</f>
        <v>0</v>
      </c>
      <c r="K33" s="110" t="s">
        <v>348</v>
      </c>
      <c r="L33" s="170" t="s">
        <v>371</v>
      </c>
      <c r="M33" s="173"/>
    </row>
    <row r="34" spans="1:13" ht="66.599999999999994" customHeight="1" thickBot="1" x14ac:dyDescent="0.3">
      <c r="A34" s="166"/>
      <c r="B34" s="120"/>
      <c r="C34" s="121"/>
      <c r="D34" s="111">
        <f>'Коллеги_%'!D107</f>
        <v>0</v>
      </c>
      <c r="E34" s="112" t="s">
        <v>349</v>
      </c>
      <c r="F34" s="120"/>
      <c r="G34" s="121"/>
      <c r="H34" s="120"/>
      <c r="I34" s="121"/>
      <c r="J34" s="111">
        <f>'Коллеги_%'!D110</f>
        <v>0.16666666666666666</v>
      </c>
      <c r="K34" s="112" t="s">
        <v>350</v>
      </c>
      <c r="L34" s="172"/>
      <c r="M34" s="174"/>
    </row>
    <row r="35" spans="1:13" x14ac:dyDescent="0.25">
      <c r="B35" s="97"/>
    </row>
    <row r="36" spans="1:13" x14ac:dyDescent="0.25">
      <c r="B36" s="97"/>
    </row>
    <row r="37" spans="1:13" x14ac:dyDescent="0.25">
      <c r="B37" s="97"/>
    </row>
    <row r="38" spans="1:13" x14ac:dyDescent="0.25">
      <c r="B38" s="97"/>
    </row>
    <row r="39" spans="1:13" x14ac:dyDescent="0.25">
      <c r="B39" s="97"/>
    </row>
    <row r="40" spans="1:13" x14ac:dyDescent="0.25">
      <c r="B40" s="97"/>
    </row>
    <row r="41" spans="1:13" x14ac:dyDescent="0.25">
      <c r="B41" s="99" t="s">
        <v>354</v>
      </c>
      <c r="C41" s="100" t="s">
        <v>355</v>
      </c>
      <c r="D41" s="161" t="s">
        <v>360</v>
      </c>
      <c r="E41" s="162"/>
    </row>
    <row r="42" spans="1:13" x14ac:dyDescent="0.25">
      <c r="B42" s="99" t="s">
        <v>354</v>
      </c>
      <c r="C42" s="101" t="s">
        <v>356</v>
      </c>
      <c r="D42" s="161" t="s">
        <v>361</v>
      </c>
      <c r="E42" s="162"/>
      <c r="K42"/>
    </row>
    <row r="43" spans="1:13" x14ac:dyDescent="0.25">
      <c r="B43" s="99" t="s">
        <v>354</v>
      </c>
      <c r="C43" s="102" t="s">
        <v>357</v>
      </c>
      <c r="D43" s="161" t="s">
        <v>362</v>
      </c>
      <c r="E43" s="162"/>
    </row>
    <row r="44" spans="1:13" s="82" customFormat="1" x14ac:dyDescent="0.25">
      <c r="B44" s="97"/>
      <c r="C44" s="103"/>
      <c r="D44" s="97"/>
      <c r="E44" s="103"/>
      <c r="F44" s="97"/>
      <c r="G44" s="103"/>
      <c r="H44" s="97"/>
      <c r="I44" s="103"/>
      <c r="J44" s="97"/>
      <c r="K44" s="103"/>
      <c r="L44" s="114"/>
      <c r="M44" s="117"/>
    </row>
    <row r="45" spans="1:13" x14ac:dyDescent="0.25">
      <c r="B45" s="104" t="s">
        <v>358</v>
      </c>
      <c r="C45" s="100" t="s">
        <v>355</v>
      </c>
      <c r="D45" s="163" t="s">
        <v>364</v>
      </c>
      <c r="E45" s="164"/>
    </row>
    <row r="46" spans="1:13" x14ac:dyDescent="0.25">
      <c r="B46" s="104" t="s">
        <v>358</v>
      </c>
      <c r="C46" s="101" t="s">
        <v>356</v>
      </c>
      <c r="D46" s="161"/>
      <c r="E46" s="162"/>
    </row>
    <row r="47" spans="1:13" x14ac:dyDescent="0.25">
      <c r="B47" s="104" t="s">
        <v>358</v>
      </c>
      <c r="C47" s="102" t="s">
        <v>357</v>
      </c>
      <c r="D47" s="161"/>
      <c r="E47" s="162"/>
    </row>
    <row r="48" spans="1:13" s="82" customFormat="1" ht="13.5" customHeight="1" x14ac:dyDescent="0.25">
      <c r="B48" s="97"/>
      <c r="C48" s="103"/>
      <c r="D48" s="97"/>
      <c r="E48" s="103"/>
      <c r="F48" s="97"/>
      <c r="G48" s="103"/>
      <c r="H48" s="97"/>
      <c r="I48" s="103"/>
      <c r="J48" s="97"/>
      <c r="K48" s="103"/>
      <c r="L48" s="114"/>
      <c r="M48" s="117"/>
    </row>
    <row r="49" spans="2:5" x14ac:dyDescent="0.25">
      <c r="B49" s="105" t="s">
        <v>359</v>
      </c>
      <c r="C49" s="100" t="s">
        <v>355</v>
      </c>
      <c r="D49" s="161" t="s">
        <v>363</v>
      </c>
      <c r="E49" s="162"/>
    </row>
    <row r="50" spans="2:5" x14ac:dyDescent="0.25">
      <c r="B50" s="105" t="s">
        <v>359</v>
      </c>
      <c r="C50" s="101" t="s">
        <v>356</v>
      </c>
      <c r="D50" s="161"/>
      <c r="E50" s="162"/>
    </row>
    <row r="51" spans="2:5" x14ac:dyDescent="0.25">
      <c r="B51" s="105" t="s">
        <v>359</v>
      </c>
      <c r="C51" s="102" t="s">
        <v>357</v>
      </c>
      <c r="D51" s="161"/>
      <c r="E51" s="162"/>
    </row>
    <row r="52" spans="2:5" hidden="1" x14ac:dyDescent="0.25">
      <c r="B52" s="97"/>
    </row>
    <row r="53" spans="2:5" ht="26.25" hidden="1" x14ac:dyDescent="0.25">
      <c r="B53" s="97"/>
      <c r="E53" s="115" t="s">
        <v>372</v>
      </c>
    </row>
    <row r="54" spans="2:5" ht="26.25" hidden="1" x14ac:dyDescent="0.25">
      <c r="B54" s="97"/>
      <c r="E54" s="115" t="s">
        <v>371</v>
      </c>
    </row>
    <row r="55" spans="2:5" ht="26.25" hidden="1" x14ac:dyDescent="0.25">
      <c r="B55" s="97"/>
      <c r="E55" s="115" t="s">
        <v>370</v>
      </c>
    </row>
    <row r="56" spans="2:5" ht="26.25" hidden="1" x14ac:dyDescent="0.25">
      <c r="B56" s="97"/>
      <c r="E56" s="115" t="s">
        <v>369</v>
      </c>
    </row>
    <row r="57" spans="2:5" ht="26.25" hidden="1" x14ac:dyDescent="0.25">
      <c r="B57" s="97"/>
      <c r="E57" s="115" t="s">
        <v>368</v>
      </c>
    </row>
    <row r="58" spans="2:5" x14ac:dyDescent="0.25">
      <c r="B58" s="97"/>
    </row>
    <row r="59" spans="2:5" x14ac:dyDescent="0.25">
      <c r="B59" s="97"/>
    </row>
    <row r="60" spans="2:5" x14ac:dyDescent="0.25">
      <c r="B60" s="97"/>
    </row>
    <row r="61" spans="2:5" x14ac:dyDescent="0.25">
      <c r="B61" s="97"/>
    </row>
  </sheetData>
  <mergeCells count="44">
    <mergeCell ref="M33:M34"/>
    <mergeCell ref="M16:M19"/>
    <mergeCell ref="M20:M22"/>
    <mergeCell ref="M23:M27"/>
    <mergeCell ref="M28:M29"/>
    <mergeCell ref="M30:M32"/>
    <mergeCell ref="M8:M9"/>
    <mergeCell ref="M10:M11"/>
    <mergeCell ref="M12:M15"/>
    <mergeCell ref="A1:M1"/>
    <mergeCell ref="F4:H4"/>
    <mergeCell ref="F5:H5"/>
    <mergeCell ref="B3:D3"/>
    <mergeCell ref="B4:D4"/>
    <mergeCell ref="B5:D5"/>
    <mergeCell ref="A2:M2"/>
    <mergeCell ref="F3:H3"/>
    <mergeCell ref="L23:L27"/>
    <mergeCell ref="L28:L29"/>
    <mergeCell ref="L30:L32"/>
    <mergeCell ref="L33:L34"/>
    <mergeCell ref="L8:L9"/>
    <mergeCell ref="L10:L11"/>
    <mergeCell ref="L12:L15"/>
    <mergeCell ref="L16:L19"/>
    <mergeCell ref="L20:L22"/>
    <mergeCell ref="A28:A29"/>
    <mergeCell ref="A30:A32"/>
    <mergeCell ref="A33:A34"/>
    <mergeCell ref="A8:A9"/>
    <mergeCell ref="A10:A11"/>
    <mergeCell ref="A12:A15"/>
    <mergeCell ref="A16:A19"/>
    <mergeCell ref="A20:A22"/>
    <mergeCell ref="A23:A27"/>
    <mergeCell ref="D47:E47"/>
    <mergeCell ref="D49:E49"/>
    <mergeCell ref="D50:E50"/>
    <mergeCell ref="D51:E51"/>
    <mergeCell ref="D41:E41"/>
    <mergeCell ref="D42:E42"/>
    <mergeCell ref="D43:E43"/>
    <mergeCell ref="D45:E45"/>
    <mergeCell ref="D46:E46"/>
  </mergeCells>
  <conditionalFormatting sqref="B8">
    <cfRule type="colorScale" priority="743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8:B10">
    <cfRule type="cellIs" dxfId="288" priority="277" operator="between">
      <formula>0.01</formula>
      <formula>0.39</formula>
    </cfRule>
    <cfRule type="cellIs" dxfId="287" priority="278" operator="greaterThanOrEqual">
      <formula>0.4</formula>
    </cfRule>
    <cfRule type="cellIs" dxfId="286" priority="279" operator="equal">
      <formula>0</formula>
    </cfRule>
  </conditionalFormatting>
  <conditionalFormatting sqref="B9">
    <cfRule type="colorScale" priority="28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0">
    <cfRule type="colorScale" priority="28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2">
    <cfRule type="cellIs" dxfId="285" priority="249" operator="between">
      <formula>0.01</formula>
      <formula>0.39</formula>
    </cfRule>
    <cfRule type="cellIs" dxfId="284" priority="250" operator="greaterThanOrEqual">
      <formula>0.4</formula>
    </cfRule>
    <cfRule type="cellIs" dxfId="283" priority="251" operator="equal">
      <formula>0</formula>
    </cfRule>
    <cfRule type="colorScale" priority="25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6">
    <cfRule type="colorScale" priority="20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6:B18">
    <cfRule type="cellIs" dxfId="282" priority="177" operator="between">
      <formula>0.01</formula>
      <formula>0.39</formula>
    </cfRule>
    <cfRule type="cellIs" dxfId="281" priority="178" operator="greaterThanOrEqual">
      <formula>0.4</formula>
    </cfRule>
    <cfRule type="cellIs" dxfId="280" priority="179" operator="equal">
      <formula>0</formula>
    </cfRule>
  </conditionalFormatting>
  <conditionalFormatting sqref="B17">
    <cfRule type="colorScale" priority="18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18">
    <cfRule type="colorScale" priority="18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0">
    <cfRule type="cellIs" dxfId="279" priority="149" operator="between">
      <formula>0.01</formula>
      <formula>0.39</formula>
    </cfRule>
    <cfRule type="cellIs" dxfId="278" priority="150" operator="greaterThanOrEqual">
      <formula>0.4</formula>
    </cfRule>
    <cfRule type="cellIs" dxfId="277" priority="151" operator="equal">
      <formula>0</formula>
    </cfRule>
    <cfRule type="colorScale" priority="15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3">
    <cfRule type="colorScale" priority="12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3:B24">
    <cfRule type="cellIs" dxfId="276" priority="107" operator="equal">
      <formula>0</formula>
    </cfRule>
    <cfRule type="cellIs" dxfId="275" priority="106" operator="greaterThanOrEqual">
      <formula>0.4</formula>
    </cfRule>
    <cfRule type="cellIs" dxfId="274" priority="105" operator="between">
      <formula>0.01</formula>
      <formula>0.39</formula>
    </cfRule>
  </conditionalFormatting>
  <conditionalFormatting sqref="B24">
    <cfRule type="colorScale" priority="10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B28">
    <cfRule type="cellIs" dxfId="273" priority="62" operator="greaterThanOrEqual">
      <formula>0.4</formula>
    </cfRule>
    <cfRule type="cellIs" dxfId="272" priority="61" operator="between">
      <formula>0.01</formula>
      <formula>0.39</formula>
    </cfRule>
    <cfRule type="colorScale" priority="64">
      <colorScale>
        <cfvo type="percent" val="40"/>
        <cfvo type="percent" val="100"/>
        <color theme="7" tint="0.39997558519241921"/>
        <color theme="9" tint="0.39997558519241921"/>
      </colorScale>
    </cfRule>
    <cfRule type="cellIs" dxfId="271" priority="63" operator="equal">
      <formula>0</formula>
    </cfRule>
  </conditionalFormatting>
  <conditionalFormatting sqref="B33">
    <cfRule type="cellIs" dxfId="270" priority="21" operator="between">
      <formula>0.01</formula>
      <formula>0.39</formula>
    </cfRule>
    <cfRule type="cellIs" dxfId="269" priority="22" operator="greaterThanOrEqual">
      <formula>0.4</formula>
    </cfRule>
    <cfRule type="cellIs" dxfId="268" priority="23" operator="equal">
      <formula>0</formula>
    </cfRule>
    <cfRule type="colorScale" priority="2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8">
    <cfRule type="colorScale" priority="2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8:D14">
    <cfRule type="cellIs" dxfId="231" priority="219" operator="equal">
      <formula>0</formula>
    </cfRule>
    <cfRule type="cellIs" dxfId="230" priority="218" operator="greaterThanOrEqual">
      <formula>0.4</formula>
    </cfRule>
    <cfRule type="cellIs" dxfId="229" priority="217" operator="between">
      <formula>0.01</formula>
      <formula>0.39</formula>
    </cfRule>
  </conditionalFormatting>
  <conditionalFormatting sqref="D9">
    <cfRule type="colorScale" priority="27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0">
    <cfRule type="colorScale" priority="26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1">
    <cfRule type="colorScale" priority="2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2">
    <cfRule type="colorScale" priority="24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3">
    <cfRule type="colorScale" priority="22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4">
    <cfRule type="colorScale" priority="22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6">
    <cfRule type="colorScale" priority="20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6:D18">
    <cfRule type="cellIs" dxfId="228" priority="174" operator="greaterThanOrEqual">
      <formula>0.4</formula>
    </cfRule>
    <cfRule type="cellIs" dxfId="227" priority="175" operator="equal">
      <formula>0</formula>
    </cfRule>
    <cfRule type="cellIs" dxfId="226" priority="173" operator="between">
      <formula>0.01</formula>
      <formula>0.39</formula>
    </cfRule>
  </conditionalFormatting>
  <conditionalFormatting sqref="D17">
    <cfRule type="colorScale" priority="18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18">
    <cfRule type="colorScale" priority="1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0">
    <cfRule type="colorScale" priority="14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0:D26">
    <cfRule type="cellIs" dxfId="225" priority="71" operator="equal">
      <formula>0</formula>
    </cfRule>
    <cfRule type="cellIs" dxfId="224" priority="69" operator="between">
      <formula>0.01</formula>
      <formula>0.39</formula>
    </cfRule>
    <cfRule type="cellIs" dxfId="223" priority="70" operator="greaterThanOrEqual">
      <formula>0.4</formula>
    </cfRule>
  </conditionalFormatting>
  <conditionalFormatting sqref="D21">
    <cfRule type="colorScale" priority="13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2">
    <cfRule type="colorScale" priority="13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3">
    <cfRule type="colorScale" priority="12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4">
    <cfRule type="colorScale" priority="10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5">
    <cfRule type="colorScale" priority="8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6">
    <cfRule type="colorScale" priority="7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28">
    <cfRule type="colorScale" priority="60">
      <colorScale>
        <cfvo type="percent" val="40"/>
        <cfvo type="percent" val="100"/>
        <color theme="7" tint="0.39997558519241921"/>
        <color theme="9" tint="0.39997558519241921"/>
      </colorScale>
    </cfRule>
    <cfRule type="cellIs" dxfId="222" priority="59" operator="equal">
      <formula>0</formula>
    </cfRule>
    <cfRule type="cellIs" dxfId="221" priority="58" operator="greaterThanOrEqual">
      <formula>0.4</formula>
    </cfRule>
    <cfRule type="cellIs" dxfId="220" priority="57" operator="between">
      <formula>0.01</formula>
      <formula>0.39</formula>
    </cfRule>
  </conditionalFormatting>
  <conditionalFormatting sqref="D33">
    <cfRule type="colorScale" priority="2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D33:D34">
    <cfRule type="cellIs" dxfId="219" priority="15" operator="equal">
      <formula>0</formula>
    </cfRule>
    <cfRule type="cellIs" dxfId="218" priority="14" operator="greaterThanOrEqual">
      <formula>0.4</formula>
    </cfRule>
    <cfRule type="cellIs" dxfId="217" priority="13" operator="between">
      <formula>0.01</formula>
      <formula>0.39</formula>
    </cfRule>
  </conditionalFormatting>
  <conditionalFormatting sqref="D34">
    <cfRule type="colorScale" priority="1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8">
    <cfRule type="colorScale" priority="264">
      <colorScale>
        <cfvo type="percent" val="40"/>
        <cfvo type="percent" val="100"/>
        <color theme="7" tint="0.39997558519241921"/>
        <color theme="9" tint="0.39997558519241921"/>
      </colorScale>
    </cfRule>
    <cfRule type="cellIs" dxfId="156" priority="263" operator="equal">
      <formula>0</formula>
    </cfRule>
    <cfRule type="cellIs" dxfId="155" priority="261" operator="between">
      <formula>0.01</formula>
      <formula>0.39</formula>
    </cfRule>
    <cfRule type="cellIs" dxfId="154" priority="262" operator="greaterThanOrEqual">
      <formula>0.4</formula>
    </cfRule>
  </conditionalFormatting>
  <conditionalFormatting sqref="F10">
    <cfRule type="colorScale" priority="260">
      <colorScale>
        <cfvo type="percent" val="40"/>
        <cfvo type="percent" val="100"/>
        <color theme="7" tint="0.39997558519241921"/>
        <color theme="9" tint="0.39997558519241921"/>
      </colorScale>
    </cfRule>
    <cfRule type="cellIs" dxfId="153" priority="259" operator="equal">
      <formula>0</formula>
    </cfRule>
    <cfRule type="cellIs" dxfId="152" priority="258" operator="greaterThanOrEqual">
      <formula>0.4</formula>
    </cfRule>
    <cfRule type="cellIs" dxfId="151" priority="257" operator="between">
      <formula>0.01</formula>
      <formula>0.39</formula>
    </cfRule>
  </conditionalFormatting>
  <conditionalFormatting sqref="F12">
    <cfRule type="colorScale" priority="24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2:F15">
    <cfRule type="cellIs" dxfId="150" priority="209" operator="between">
      <formula>0.01</formula>
      <formula>0.39</formula>
    </cfRule>
    <cfRule type="cellIs" dxfId="149" priority="211" operator="equal">
      <formula>0</formula>
    </cfRule>
    <cfRule type="cellIs" dxfId="148" priority="210" operator="greaterThanOrEqual">
      <formula>0.4</formula>
    </cfRule>
  </conditionalFormatting>
  <conditionalFormatting sqref="F13">
    <cfRule type="colorScale" priority="22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4">
    <cfRule type="colorScale" priority="21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5">
    <cfRule type="colorScale" priority="21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6">
    <cfRule type="colorScale" priority="1009">
      <colorScale>
        <cfvo type="percent" val="40"/>
        <cfvo type="percent" val="100"/>
        <color theme="7" tint="0.39997558519241921"/>
        <color theme="9" tint="0.39997558519241921"/>
      </colorScale>
    </cfRule>
    <cfRule type="cellIs" dxfId="147" priority="1008" operator="greaterThan">
      <formula>0.6</formula>
    </cfRule>
    <cfRule type="cellIs" dxfId="146" priority="1005" operator="between">
      <formula>0</formula>
      <formula>0.39</formula>
    </cfRule>
    <cfRule type="cellIs" dxfId="145" priority="1006" operator="between">
      <formula>0.4</formula>
      <formula>0.59</formula>
    </cfRule>
    <cfRule type="cellIs" dxfId="144" priority="1007" operator="between">
      <formula>0.6</formula>
      <formula>1</formula>
    </cfRule>
  </conditionalFormatting>
  <conditionalFormatting sqref="F17">
    <cfRule type="colorScale" priority="19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7:F21">
    <cfRule type="cellIs" dxfId="143" priority="137" operator="between">
      <formula>0.01</formula>
      <formula>0.39</formula>
    </cfRule>
    <cfRule type="cellIs" dxfId="142" priority="138" operator="greaterThanOrEqual">
      <formula>0.4</formula>
    </cfRule>
    <cfRule type="cellIs" dxfId="141" priority="139" operator="equal">
      <formula>0</formula>
    </cfRule>
  </conditionalFormatting>
  <conditionalFormatting sqref="F18">
    <cfRule type="colorScale" priority="17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19">
    <cfRule type="colorScale" priority="16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0">
    <cfRule type="colorScale" priority="14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1">
    <cfRule type="colorScale" priority="14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3">
    <cfRule type="colorScale" priority="12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3:F25">
    <cfRule type="cellIs" dxfId="140" priority="83" operator="equal">
      <formula>0</formula>
    </cfRule>
    <cfRule type="cellIs" dxfId="139" priority="82" operator="greaterThanOrEqual">
      <formula>0.4</formula>
    </cfRule>
    <cfRule type="cellIs" dxfId="138" priority="81" operator="between">
      <formula>0.01</formula>
      <formula>0.39</formula>
    </cfRule>
  </conditionalFormatting>
  <conditionalFormatting sqref="F24">
    <cfRule type="colorScale" priority="10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5">
    <cfRule type="colorScale" priority="8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8">
    <cfRule type="colorScale" priority="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28:F32">
    <cfRule type="cellIs" dxfId="137" priority="25" operator="between">
      <formula>0.01</formula>
      <formula>0.39</formula>
    </cfRule>
    <cfRule type="cellIs" dxfId="136" priority="26" operator="greaterThanOrEqual">
      <formula>0.4</formula>
    </cfRule>
    <cfRule type="cellIs" dxfId="135" priority="27" operator="equal">
      <formula>0</formula>
    </cfRule>
  </conditionalFormatting>
  <conditionalFormatting sqref="F29">
    <cfRule type="colorScale" priority="44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30">
    <cfRule type="colorScale" priority="3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31">
    <cfRule type="colorScale" priority="3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F32">
    <cfRule type="colorScale" priority="2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8:H9 F9 J8:J9">
    <cfRule type="colorScale" priority="1161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12">
    <cfRule type="colorScale" priority="24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12:H13">
    <cfRule type="cellIs" dxfId="77" priority="231" operator="equal">
      <formula>0</formula>
    </cfRule>
    <cfRule type="cellIs" dxfId="76" priority="230" operator="greaterThanOrEqual">
      <formula>0.4</formula>
    </cfRule>
    <cfRule type="cellIs" dxfId="75" priority="229" operator="between">
      <formula>0.01</formula>
      <formula>0.39</formula>
    </cfRule>
  </conditionalFormatting>
  <conditionalFormatting sqref="H13">
    <cfRule type="colorScale" priority="23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16">
    <cfRule type="cellIs" dxfId="74" priority="158" operator="greaterThanOrEqual">
      <formula>0.4</formula>
    </cfRule>
    <cfRule type="cellIs" dxfId="73" priority="157" operator="between">
      <formula>0.01</formula>
      <formula>0.39</formula>
    </cfRule>
    <cfRule type="colorScale" priority="160">
      <colorScale>
        <cfvo type="percent" val="40"/>
        <cfvo type="percent" val="100"/>
        <color theme="7" tint="0.39997558519241921"/>
        <color theme="9" tint="0.39997558519241921"/>
      </colorScale>
    </cfRule>
    <cfRule type="cellIs" dxfId="72" priority="159" operator="equal">
      <formula>0</formula>
    </cfRule>
  </conditionalFormatting>
  <conditionalFormatting sqref="H23">
    <cfRule type="colorScale" priority="11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3:H30">
    <cfRule type="cellIs" dxfId="71" priority="38" operator="greaterThanOrEqual">
      <formula>0.4</formula>
    </cfRule>
    <cfRule type="cellIs" dxfId="70" priority="39" operator="equal">
      <formula>0</formula>
    </cfRule>
    <cfRule type="cellIs" dxfId="69" priority="37" operator="between">
      <formula>0.01</formula>
      <formula>0.39</formula>
    </cfRule>
  </conditionalFormatting>
  <conditionalFormatting sqref="H24">
    <cfRule type="colorScale" priority="9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5">
    <cfRule type="colorScale" priority="8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6">
    <cfRule type="colorScale" priority="7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7">
    <cfRule type="colorScale" priority="6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8">
    <cfRule type="colorScale" priority="5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29">
    <cfRule type="colorScale" priority="4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30">
    <cfRule type="colorScale" priority="40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H33">
    <cfRule type="cellIs" dxfId="68" priority="9" operator="between">
      <formula>0.01</formula>
      <formula>0.39</formula>
    </cfRule>
    <cfRule type="cellIs" dxfId="67" priority="10" operator="greaterThanOrEqual">
      <formula>0.4</formula>
    </cfRule>
    <cfRule type="cellIs" dxfId="66" priority="11" operator="equal">
      <formula>0</formula>
    </cfRule>
    <cfRule type="colorScale" priority="1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12">
    <cfRule type="colorScale" priority="236">
      <colorScale>
        <cfvo type="percent" val="40"/>
        <cfvo type="percent" val="100"/>
        <color theme="7" tint="0.39997558519241921"/>
        <color theme="9" tint="0.39997558519241921"/>
      </colorScale>
    </cfRule>
    <cfRule type="cellIs" dxfId="29" priority="233" operator="between">
      <formula>0.01</formula>
      <formula>0.39</formula>
    </cfRule>
    <cfRule type="cellIs" dxfId="28" priority="234" operator="greaterThanOrEqual">
      <formula>0.4</formula>
    </cfRule>
    <cfRule type="cellIs" dxfId="27" priority="235" operator="equal">
      <formula>0</formula>
    </cfRule>
  </conditionalFormatting>
  <conditionalFormatting sqref="J16">
    <cfRule type="cellIs" dxfId="26" priority="153" operator="between">
      <formula>0.01</formula>
      <formula>0.39</formula>
    </cfRule>
    <cfRule type="cellIs" dxfId="25" priority="154" operator="greaterThanOrEqual">
      <formula>0.4</formula>
    </cfRule>
    <cfRule type="cellIs" dxfId="24" priority="155" operator="equal">
      <formula>0</formula>
    </cfRule>
    <cfRule type="colorScale" priority="156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23">
    <cfRule type="colorScale" priority="11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23:J24">
    <cfRule type="cellIs" dxfId="23" priority="91" operator="equal">
      <formula>0</formula>
    </cfRule>
    <cfRule type="cellIs" dxfId="22" priority="90" operator="greaterThanOrEqual">
      <formula>0.4</formula>
    </cfRule>
    <cfRule type="cellIs" dxfId="21" priority="89" operator="between">
      <formula>0.01</formula>
      <formula>0.39</formula>
    </cfRule>
  </conditionalFormatting>
  <conditionalFormatting sqref="J24">
    <cfRule type="colorScale" priority="92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33">
    <cfRule type="colorScale" priority="8">
      <colorScale>
        <cfvo type="percent" val="40"/>
        <cfvo type="percent" val="100"/>
        <color theme="7" tint="0.39997558519241921"/>
        <color theme="9" tint="0.39997558519241921"/>
      </colorScale>
    </cfRule>
  </conditionalFormatting>
  <conditionalFormatting sqref="J33:J34">
    <cfRule type="cellIs" dxfId="20" priority="2" operator="greaterThanOrEqual">
      <formula>0.4</formula>
    </cfRule>
    <cfRule type="cellIs" dxfId="19" priority="3" operator="equal">
      <formula>0</formula>
    </cfRule>
    <cfRule type="cellIs" dxfId="18" priority="1" operator="between">
      <formula>0.01</formula>
      <formula>0.39</formula>
    </cfRule>
  </conditionalFormatting>
  <conditionalFormatting sqref="J34">
    <cfRule type="colorScale" priority="4">
      <colorScale>
        <cfvo type="percent" val="40"/>
        <cfvo type="percent" val="100"/>
        <color theme="7" tint="0.39997558519241921"/>
        <color theme="9" tint="0.39997558519241921"/>
      </colorScale>
    </cfRule>
  </conditionalFormatting>
  <dataValidations count="2">
    <dataValidation type="list" allowBlank="1" showInputMessage="1" showErrorMessage="1" sqref="L10:L11" xr:uid="{C74ECCF0-BFAB-4B27-8FE7-8D46085765F5}">
      <formula1>$E$53:$E$57</formula1>
    </dataValidation>
    <dataValidation type="list" allowBlank="1" showInputMessage="1" showErrorMessage="1" sqref="L8:L9 L12:L13 L16:L34" xr:uid="{B2006EA9-01C2-45B9-8A10-0A3079B8E889}">
      <formula1>$E$52:$E$57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0" id="{38A39306-7820-4646-9FA9-CF51E7AAF3E3}">
            <xm:f>'Коллеги_%'!$C$26&lt;=39%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81" id="{AA1A439B-4572-4749-9778-DA3072090285}">
            <xm:f>'Коллеги_%'!$C$26&gt;=60%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79" id="{7A275821-1EF7-4665-82CB-C0F810777CA1}">
            <xm:f>AND('Коллеги_%'!$C$26&gt;=40%,'Коллеги_%'!$C$26&lt;60%)</xm:f>
            <x14:dxf>
              <fill>
                <patternFill>
                  <bgColor theme="7" tint="0.59996337778862885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expression" priority="777" id="{080F992A-5702-4A78-ADD2-ADE7F200F6A2}">
            <xm:f>'Коллеги_%'!$C$28&lt;=39%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76" id="{8C34C10E-0A26-40E3-A0D2-06A47820B096}">
            <xm:f>AND('Коллеги_%'!$C$28&gt;=40%,'Коллеги_%'!$C$28&lt;60%)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78" id="{E09A5678-0660-4F5E-9EBF-2CF0B76F5B6B}">
            <xm:f>'Коллеги_%'!$C$28&gt;=60%</xm:f>
            <x14:dxf>
              <fill>
                <patternFill>
                  <bgColor theme="9" tint="0.39994506668294322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expression" priority="766" id="{0C6F6DB2-05AF-4D7C-8BA6-5BCC7C92929B}">
            <xm:f>'Коллеги_%'!$C$30&gt;=60%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65" id="{3DBDE667-4EA1-4A5C-8ECF-686321F1157B}">
            <xm:f>'Коллеги_%'!$C$30&lt;=39%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64" id="{1D711DBB-BCE8-4B8D-B9F6-F107525BA82B}">
            <xm:f>AND('Коллеги_%'!$C$30&gt;=40%,'Коллеги_%'!$C$30&lt;60%)</xm:f>
            <x14:dxf>
              <fill>
                <patternFill>
                  <bgColor theme="7" tint="0.59996337778862885"/>
                </patternFill>
              </fill>
            </x14:dxf>
          </x14:cfRule>
          <xm:sqref>C10</xm:sqref>
        </x14:conditionalFormatting>
        <x14:conditionalFormatting xmlns:xm="http://schemas.microsoft.com/office/excel/2006/main">
          <x14:cfRule type="expression" priority="711" id="{5B3C801A-630B-41B1-9BB7-167566605701}">
            <xm:f>'Коллеги_%'!$C$49&gt;=60%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10" id="{007FED35-635C-4232-B48D-39BE3DA56C47}">
            <xm:f>'Коллеги_%'!$C$49&lt;=39%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09" id="{F0FA922C-0E92-444F-8D48-B84F0D7AA819}">
            <xm:f>AND('Коллеги_%'!$C$49&gt;=40%,'Коллеги_%'!$C$49&lt;60%)</xm:f>
            <x14:dxf>
              <fill>
                <patternFill>
                  <bgColor theme="7" tint="0.59996337778862885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expression" priority="634" id="{B2DE74A5-9332-4DEA-922B-3688C07A05D2}">
            <xm:f>'Коллеги_%'!$C$74&gt;=60%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33" id="{DF81050D-8840-46C4-B92E-076E161AD9F8}">
            <xm:f>'Коллеги_%'!$C$74&lt;=39%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32" id="{6253F0C8-6D5F-4683-AB4F-D92A2D18EAC7}">
            <xm:f>AND('Коллеги_%'!$C$74&gt;=40%,'Коллеги_%'!$C$74&lt;60%)</xm:f>
            <x14:dxf>
              <fill>
                <patternFill>
                  <bgColor theme="7" tint="0.59996337778862885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expression" priority="629" id="{34FDAA2A-4495-48B5-84FC-48F9D19F6D79}">
            <xm:f>AND('Коллеги_%'!$C$77&gt;=40%,'Коллеги_%'!$C$77&lt;60%)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31" id="{848FD5DB-69B1-43A6-84A9-F76042D12596}">
            <xm:f>'Коллеги_%'!$C$77&gt;=60%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30" id="{00A785D4-E223-4A13-AABC-5DB6FDC5ADC0}">
            <xm:f>'Коллеги_%'!$C$77&lt;=39%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626" id="{502406E1-5D73-4DFA-BB09-8D72F69B02DC}">
            <xm:f>AND('Коллеги_%'!$C$84&gt;=40%,'Коллеги_%'!$C$84&lt;60%)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27" id="{8798B7ED-CF2A-4829-A995-999FDD739137}">
            <xm:f>'Коллеги_%'!$C$84&lt;=39%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28" id="{BFAF5843-708A-493D-8701-CDB0EBE01603}">
            <xm:f>'Коллеги_%'!$C$84&gt;=60%</xm:f>
            <x14:dxf>
              <fill>
                <patternFill>
                  <bgColor theme="9" tint="0.39994506668294322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expression" priority="557" id="{8158EEE6-DB00-40E0-818B-0E031A7CC42F}">
            <xm:f>'Коллеги_%'!$C$97&gt;=60%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56" id="{7B5F30D4-CFA5-4444-9AA1-690F22BC6782}">
            <xm:f>'Коллеги_%'!$C$97&lt;=39%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55" id="{5D3F0EA2-B3B5-47AB-BBEA-BEFD4EED4C5A}">
            <xm:f>AND('Коллеги_%'!$C$97&gt;=40%,'Коллеги_%'!$C$97&lt;60%)</xm:f>
            <x14:dxf>
              <fill>
                <patternFill>
                  <bgColor theme="7" tint="0.59996337778862885"/>
                </patternFill>
              </fill>
            </x14:dxf>
          </x14:cfRule>
          <xm:sqref>C20</xm:sqref>
        </x14:conditionalFormatting>
        <x14:conditionalFormatting xmlns:xm="http://schemas.microsoft.com/office/excel/2006/main">
          <x14:cfRule type="expression" priority="512" id="{A5CAE09C-6F41-40E4-8748-3CBD08FD58A5}">
            <xm:f>'Коллеги_%'!$C$57&gt;=60%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11" id="{2413D869-4BF6-46CC-B0B2-55A04F46D7AF}">
            <xm:f>'Коллеги_%'!$C$57&lt;=39%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10" id="{EAA7CB1E-B166-4AF7-9F91-4F840AE3C46F}">
            <xm:f>AND('Коллеги_%'!$C$57&gt;=40%,'Коллеги_%'!$C$57&lt;60%)</xm:f>
            <x14:dxf>
              <fill>
                <patternFill>
                  <bgColor theme="7" tint="0.59996337778862885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expression" priority="509" id="{B342D836-D214-4D3E-B8DA-90412E798BFC}">
            <xm:f>'Коллеги_%'!$C$68&gt;=60%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07" id="{CC7D3AAE-899D-440E-94BE-FBA925F43842}">
            <xm:f>AND('Коллеги_%'!$C$68&gt;=40%,'Коллеги_%'!$C$68&lt;60%)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08" id="{CAEDC255-4EC0-4112-A75A-75256481C91F}">
            <xm:f>'Коллеги_%'!$C$68&lt;=39%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C24</xm:sqref>
        </x14:conditionalFormatting>
        <x14:conditionalFormatting xmlns:xm="http://schemas.microsoft.com/office/excel/2006/main">
          <x14:cfRule type="expression" priority="398" id="{083AC46F-0A36-4981-9EE5-C62F20A9857D}">
            <xm:f>AND('Коллеги_%'!$C$91&gt;=40%,'Коллеги_%'!$C$91&lt;60%)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99" id="{62FC89C3-093E-4D2F-86B0-CB9C40648786}">
            <xm:f>'Коллеги_%'!$C$91&lt;=39%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00" id="{CF4451D7-CA88-4864-A3F2-B7235D611F88}">
            <xm:f>'Коллеги_%'!$C$91&gt;=60%</xm:f>
            <x14:dxf>
              <fill>
                <patternFill>
                  <bgColor theme="9" tint="0.39994506668294322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expression" priority="329" id="{11E1FD09-63B0-4D3C-8CC1-665DCD528702}">
            <xm:f>'Коллеги_%'!$C$105&lt;=39%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28" id="{F3481DBF-FAEA-4E35-AC21-DB62BE6C84F5}">
            <xm:f>AND('Коллеги_%'!$C$105&gt;=40%,'Коллеги_%'!$C$105&lt;60%)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30" id="{2A7CA070-A4E3-47C7-917D-EFD85DE696C3}">
            <xm:f>'Коллеги_%'!$C$105&gt;=60%</xm:f>
            <x14:dxf>
              <fill>
                <patternFill>
                  <bgColor theme="9" tint="0.39994506668294322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expression" priority="773" id="{C8AF2315-1045-4F44-80FE-F9C6345B409D}">
            <xm:f>AND('Коллеги_%'!$C$25&gt;=40%,'Коллеги_%'!$C$25&lt;60%)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74" id="{AEE371F9-F6E5-4238-8FF9-34E40F4C2B02}">
            <xm:f>'Коллеги_%'!$C$25&lt;=39%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75" id="{A0385988-9C2D-4625-B50E-FA982BF77146}">
            <xm:f>'Коллеги_%'!$C$25&gt;=60%</xm:f>
            <x14:dxf>
              <fill>
                <patternFill>
                  <bgColor theme="9" tint="0.39994506668294322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expression" priority="772" id="{FB2DD856-A4A4-43BF-A0DA-E6DD8F1F6C68}">
            <xm:f>'Коллеги_%'!$C$27&gt;=60%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71" id="{F99FD79A-13B9-4588-A066-26213E8F6D97}">
            <xm:f>'Коллеги_%'!$C$27&lt;=39%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70" id="{5C24092B-E163-4BE8-99C9-325A6C4A7BAB}">
            <xm:f>AND('Коллеги_%'!$C$27&gt;=40%,'Коллеги_%'!$C$27&lt;60%)</xm:f>
            <x14:dxf>
              <fill>
                <patternFill>
                  <bgColor theme="7" tint="0.59996337778862885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expression" priority="763" id="{1198656C-BA14-40DE-BFAA-7DA78197BF17}">
            <xm:f>'Коллеги_%'!$C$29&gt;=60%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61" id="{5ACC2871-87E2-43C4-BC02-0A3DA723178D}">
            <xm:f>AND('Коллеги_%'!$C$29&gt;=40%,'Коллеги_%'!$C$29&lt;60%)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62" id="{1878AE86-202A-4BE2-9B22-E4AD37D775D4}">
            <xm:f>'Коллеги_%'!$C$29&lt;=39%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E10</xm:sqref>
        </x14:conditionalFormatting>
        <x14:conditionalFormatting xmlns:xm="http://schemas.microsoft.com/office/excel/2006/main">
          <x14:cfRule type="expression" priority="758" id="{501563F8-2920-4E9F-8D55-F48B8BFB7B90}">
            <xm:f>AND('Коллеги_%'!$C$31&gt;=40%,'Коллеги_%'!$C$31&lt;60%)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59" id="{0FCC45C2-6D54-429C-AD35-9C603B379821}">
            <xm:f>'Коллеги_%'!$C$31&lt;=39%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60" id="{23FF3E36-2A5E-4CE0-84E4-B2D2A2321871}">
            <xm:f>'Коллеги_%'!$C$31&gt;=60%</xm:f>
            <x14:dxf>
              <fill>
                <patternFill>
                  <bgColor theme="9" tint="0.39994506668294322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expression" priority="708" id="{925A9DDF-0590-4743-A9FA-3E803A02DF57}">
            <xm:f>'Коллеги_%'!$C$40&gt;=60%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07" id="{6442A5B5-EFD5-4566-8C81-8ABCC29E1FC8}">
            <xm:f>'Коллеги_%'!$C$40&lt;=39%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06" id="{1F357D89-1F8F-4D69-B6CC-1E9365A61166}">
            <xm:f>AND('Коллеги_%'!$C$40&gt;=40%,'Коллеги_%'!$C$40&lt;60%)</xm:f>
            <x14:dxf>
              <fill>
                <patternFill>
                  <bgColor theme="7" tint="0.59996337778862885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705" id="{79FE375A-24F9-41DB-A563-51BC4D3B4ED1}">
            <xm:f>'Коллеги_%'!$C$45&gt;=60%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03" id="{C0554DFE-CC54-4923-B2AC-41C7F7266372}">
            <xm:f>AND('Коллеги_%'!$C$45&gt;=40%,'Коллеги_%'!$C$45&lt;60%)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04" id="{6BC21A7F-2C18-431C-A9D6-E3BA9B96D0D7}">
            <xm:f>'Коллеги_%'!$C$45&lt;=39%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700" id="{F3B59F3F-62E2-4D22-9078-F56C39DE1B92}">
            <xm:f>AND('Коллеги_%'!$C$46&gt;=40%,'Коллеги_%'!$C$46&lt;60%)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01" id="{2FD71047-E0A6-4716-9F69-C60D872B6B6B}">
            <xm:f>'Коллеги_%'!$C$46&lt;=39%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02" id="{A9050731-ACE1-49EE-A015-79FC213E04B1}">
            <xm:f>'Коллеги_%'!$C$46&gt;=60%</xm:f>
            <x14:dxf>
              <fill>
                <patternFill>
                  <bgColor theme="9" tint="0.39994506668294322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624" id="{0AFD973B-EB01-4B95-BCB7-35F999BDA137}">
            <xm:f>'Коллеги_%'!$C$75&lt;=39%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25" id="{C94D70C3-EDA4-4617-9811-70F896FD562A}">
            <xm:f>'Коллеги_%'!$C$75&gt;=60%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23" id="{9EA111A5-7147-44F6-9A43-98625C168F82}">
            <xm:f>AND('Коллеги_%'!$C$75&gt;=40%,'Коллеги_%'!$C$75&lt;60%)</xm:f>
            <x14:dxf>
              <fill>
                <patternFill>
                  <bgColor theme="7" tint="0.59996337778862885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622" id="{57A24877-BE1D-4C0C-8759-713C642D0FAB}">
            <xm:f>'Коллеги_%'!$C$78&gt;=60%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20" id="{B63E175C-8112-4A0A-B820-8A828A5CD224}">
            <xm:f>AND('Коллеги_%'!$C$78&gt;=40%,'Коллеги_%'!$C$78&lt;60%)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21" id="{D7E90810-FD7E-4C69-B809-1382B9F46B66}">
            <xm:f>'Коллеги_%'!$C$78&lt;=39%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expression" priority="617" id="{6271F6A4-3BB1-483E-A5A3-1CC84AAB0EB0}">
            <xm:f>AND('Коллеги_%'!$C$79&gt;=40%,'Коллеги_%'!$C$79&lt;60%)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18" id="{8C29DECF-1F06-47D3-AED5-340DCB4E5AF9}">
            <xm:f>'Коллеги_%'!$C$79&lt;=39%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19" id="{450ADD61-15D4-4DBC-A916-3F16AA3A4D1A}">
            <xm:f>'Коллеги_%'!$C$79&gt;=60%</xm:f>
            <x14:dxf>
              <fill>
                <patternFill>
                  <bgColor theme="9" tint="0.39994506668294322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expression" priority="553" id="{C69CB1CC-ECA6-4F04-9959-6E2F6B0B445A}">
            <xm:f>'Коллеги_%'!$C$98&lt;=39%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52" id="{F700B843-ABF2-46D5-A0BA-9970432AF43E}">
            <xm:f>AND('Коллеги_%'!$C$98&gt;=40%,'Коллеги_%'!$C$98&lt;60%)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54" id="{DFB8E1A2-12E0-47D2-8999-15A649A61873}">
            <xm:f>'Коллеги_%'!$C$98&gt;=60%</xm:f>
            <x14:dxf>
              <fill>
                <patternFill>
                  <bgColor theme="9" tint="0.39994506668294322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expression" priority="551" id="{9E8EDC64-FA79-431C-B02D-6394A090B12C}">
            <xm:f>'Коллеги_%'!$C$100&gt;=60%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50" id="{8C0823BF-697B-4A1F-BC7B-446E8B69375C}">
            <xm:f>'Коллеги_%'!$C$100&lt;=39%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49" id="{A3E993F0-E3EA-4526-9704-7A6683898669}">
            <xm:f>AND('Коллеги_%'!$C$100&gt;=40%,'Коллеги_%'!$C$100&lt;60%)</xm:f>
            <x14:dxf>
              <fill>
                <patternFill>
                  <bgColor theme="7" tint="0.59996337778862885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expression" priority="547" id="{10A2715B-6B12-449C-81EA-AF3FF6FE1618}">
            <xm:f>'Коллеги_%'!$C$99&lt;=39%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48" id="{0E85A14C-EC03-412B-B06E-D20D716B18CF}">
            <xm:f>'Коллеги_%'!$C$99&gt;=60%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46" id="{F535E3AA-7DFD-4D72-8A2C-ADB92B14933B}">
            <xm:f>AND('Коллеги_%'!$C$99&gt;=40%,'Коллеги_%'!$C$99&lt;60%)</xm:f>
            <x14:dxf>
              <fill>
                <patternFill>
                  <bgColor theme="7" tint="0.59996337778862885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505" id="{E7E3254F-67EF-40B9-8D0F-F1E2C2EDDC0C}">
            <xm:f>'Коллеги_%'!$C$58&lt;=39%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04" id="{F0E408AA-4B6B-46FD-9603-579A67C2A70D}">
            <xm:f>AND('Коллеги_%'!$C$58&gt;=40%,'Коллеги_%'!$C$58&lt;60%)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06" id="{24011C67-AEF6-4679-9B5F-94EAA8DF8B31}">
            <xm:f>'Коллеги_%'!$C$58&gt;=60%</xm:f>
            <x14:dxf>
              <fill>
                <patternFill>
                  <bgColor theme="9" tint="0.39994506668294322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expression" priority="503" id="{68DDF32D-D6B0-40BF-8804-821B0C864139}">
            <xm:f>'Коллеги_%'!$C$63&gt;=60%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02" id="{CEEF0D00-45F2-445A-8C4E-41B7CEEA9CAC}">
            <xm:f>'Коллеги_%'!$C$63&lt;=39%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01" id="{20DA6FBF-D6A9-4DE8-80F5-28A8C9472980}">
            <xm:f>AND('Коллеги_%'!$C$63&gt;=40%,'Коллеги_%'!$C$63&lt;60%)</xm:f>
            <x14:dxf>
              <fill>
                <patternFill>
                  <bgColor theme="7" tint="0.59996337778862885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498" id="{D8031DC3-8975-42E6-948C-8922BD77220D}">
            <xm:f>AND('Коллеги_%'!$C$66&gt;=40%,'Коллеги_%'!$C$66&lt;60%)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00" id="{5D3D257F-B1C6-40EA-B82A-E565E257ED52}">
            <xm:f>'Коллеги_%'!$C$66&gt;=60%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99" id="{2C3A16C9-E051-46F8-B095-67FC3ADA780A}">
            <xm:f>'Коллеги_%'!$C$66&lt;=39%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expression" priority="496" id="{87EFEB7B-83D9-431B-A19F-2F678747988D}">
            <xm:f>'Коллеги_%'!$C$67&lt;=39%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97" id="{D92A0C59-BFFF-43F3-9874-9FD8B9EA5517}">
            <xm:f>'Коллеги_%'!$C$67&gt;=60%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95" id="{93606B2D-666D-4014-8453-53CDF4C3537F}">
            <xm:f>AND('Коллеги_%'!$C$67&gt;=40%,'Коллеги_%'!$C$67&lt;60%)</xm:f>
            <x14:dxf>
              <fill>
                <patternFill>
                  <bgColor theme="7" tint="0.59996337778862885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395" id="{2E58B92A-128D-4DE3-8C8E-A069AC5FDF0F}">
            <xm:f>AND('Коллеги_%'!$C$92&gt;=40%,'Коллеги_%'!$C$92&lt;60%)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96" id="{760AB227-089C-4704-8916-119C63C1E54C}">
            <xm:f>'Коллеги_%'!$C$92&lt;=39%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97" id="{0A48D9A8-F64B-4030-BB91-61668F5AF8C8}">
            <xm:f>'Коллеги_%'!$C$92&gt;=60%</xm:f>
            <x14:dxf>
              <fill>
                <patternFill>
                  <bgColor theme="9" tint="0.39994506668294322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expression" priority="325" id="{DC9CE1B8-2A89-4FB4-8816-28423893786A}">
            <xm:f>AND('Коллеги_%'!$C$106&gt;=40%,'Коллеги_%'!$C$106&lt;60%)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26" id="{27BB7FD6-08AB-4E64-BFDB-936CBD1F4873}">
            <xm:f>'Коллеги_%'!$C$106&lt;=39%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27" id="{95776189-0D8C-4BCD-BA2F-8730CD98B73C}">
            <xm:f>'Коллеги_%'!$C$106&gt;=60%</xm:f>
            <x14:dxf>
              <fill>
                <patternFill>
                  <bgColor theme="9" tint="0.39994506668294322"/>
                </patternFill>
              </fill>
            </x14:dxf>
          </x14:cfRule>
          <xm:sqref>E33</xm:sqref>
        </x14:conditionalFormatting>
        <x14:conditionalFormatting xmlns:xm="http://schemas.microsoft.com/office/excel/2006/main">
          <x14:cfRule type="expression" priority="324" id="{CE9C865B-E357-412C-9F46-B727BFD53600}">
            <xm:f>'Коллеги_%'!$C$107&gt;=60%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22" id="{D6692CB9-E46C-40BF-87A7-B2A1B8698DE7}">
            <xm:f>AND('Коллеги_%'!$C$107&gt;=40%,'Коллеги_%'!$C$107&lt;60%)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23" id="{8653CCCB-23BD-47A7-BC58-8117944ACD6F}">
            <xm:f>'Коллеги_%'!$C$107&lt;=39%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expression" priority="767" id="{64A71626-2BE2-4D10-A00C-7D374883D40E}">
            <xm:f>AND('Коллеги_%'!$C$33&gt;=40%,'Коллеги_%'!$C$33&lt;60%)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69" id="{DD8C3F52-A123-4223-8524-DDE4B16CBC78}">
            <xm:f>'Коллеги_%'!$C$33&gt;=60%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68" id="{E45F1DF8-F46E-4B3E-9CBF-CF6B16B3DC66}">
            <xm:f>'Коллеги_%'!$C$33&lt;=39%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expression" priority="755" id="{0B84FAC6-DCB8-4237-A33B-D65384F67294}">
            <xm:f>AND('Коллеги_%'!$C$32&gt;=40%,'Коллеги_%'!$C$32&lt;60%)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56" id="{9E278531-B3AD-4245-A7F0-B9E032B3DF9A}">
            <xm:f>'Коллеги_%'!$C$32&lt;=39%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757" id="{26EB8149-A76F-49FD-A5F2-70054DA84C18}">
            <xm:f>'Коллеги_%'!$C$32&gt;=60%</xm:f>
            <x14:dxf>
              <fill>
                <patternFill>
                  <bgColor theme="9" tint="0.39994506668294322"/>
                </patternFill>
              </fill>
            </x14:dxf>
          </x14:cfRule>
          <xm:sqref>G10</xm:sqref>
        </x14:conditionalFormatting>
        <x14:conditionalFormatting xmlns:xm="http://schemas.microsoft.com/office/excel/2006/main">
          <x14:cfRule type="expression" priority="699" id="{610489E6-CB69-4546-A8C6-0524FA7CD828}">
            <xm:f>'Коллеги_%'!$C$41&gt;=60%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98" id="{F450851C-93A1-4388-9208-703108FD65F7}">
            <xm:f>'Коллеги_%'!$C$41&lt;=39%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97" id="{BA4B8BA3-AAA3-4FCC-A727-F529AE2DE24B}">
            <xm:f>AND('Коллеги_%'!$C$41&gt;=40%,'Коллеги_%'!$C$41&lt;60%)</xm:f>
            <x14:dxf>
              <fill>
                <patternFill>
                  <bgColor theme="7" tint="0.59996337778862885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expression" priority="696" id="{A1939540-C939-4C77-9369-7C813B0E6369}">
            <xm:f>'Коллеги_%'!$C$50&gt;=60%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95" id="{67F0CC3F-5A3D-4744-A7B2-B84C81081C0D}">
            <xm:f>'Коллеги_%'!$C$50&lt;=39%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94" id="{A859CF81-6DD5-43E2-A5E2-C48C7FD6E084}">
            <xm:f>AND('Коллеги_%'!$C$50&gt;=40%,'Коллеги_%'!$C$50&lt;60%)</xm:f>
            <x14:dxf>
              <fill>
                <patternFill>
                  <bgColor theme="7" tint="0.59996337778862885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expression" priority="693" id="{94047840-1F16-4F17-9C5B-AAECD556CBE1}">
            <xm:f>'Коллеги_%'!$C$42&gt;=60%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92" id="{07199C59-23E4-4FD3-B198-D19C1C9627DD}">
            <xm:f>'Коллеги_%'!$C$42&lt;=39%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91" id="{C3D7CD8E-E111-4FD5-B0C7-9FAF0F478D07}">
            <xm:f>AND('Коллеги_%'!$C$42&gt;=40%,'Коллеги_%'!$C$42&lt;60%)</xm:f>
            <x14:dxf>
              <fill>
                <patternFill>
                  <bgColor theme="7" tint="0.59996337778862885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expression" priority="690" id="{7A33B5EE-FE95-498F-9F29-295CEE1AEF40}">
            <xm:f>'Коллеги_%'!$C$47&gt;=60%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89" id="{1008281A-81B4-401F-B40B-A6956F859474}">
            <xm:f>'Коллеги_%'!$C$47&lt;=39%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88" id="{4C0D6240-8A98-414F-8810-52676A17B122}">
            <xm:f>AND('Коллеги_%'!$C$47&gt;=40%,'Коллеги_%'!$C$47&lt;60%)</xm:f>
            <x14:dxf>
              <fill>
                <patternFill>
                  <bgColor theme="7" tint="0.59996337778862885"/>
                </patternFill>
              </fill>
            </x14:dxf>
          </x14:cfRule>
          <xm:sqref>G15</xm:sqref>
        </x14:conditionalFormatting>
        <x14:conditionalFormatting xmlns:xm="http://schemas.microsoft.com/office/excel/2006/main">
          <x14:cfRule type="expression" priority="615" id="{355E540E-EF98-4F2B-B8D8-CB5B06F3603B}">
            <xm:f>'Коллеги_%'!$C$80&lt;=39%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16" id="{85446BA8-B485-4435-A2E8-E6EC09064FCC}">
            <xm:f>'Коллеги_%'!$C$80&gt;=60%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14" id="{EAA57564-9D99-4CE6-966A-B5BB61A64EC7}">
            <xm:f>AND('Коллеги_%'!$C$80&gt;=40%,'Коллеги_%'!$C$80&lt;60%)</xm:f>
            <x14:dxf>
              <fill>
                <patternFill>
                  <bgColor theme="7" tint="0.59996337778862885"/>
                </patternFill>
              </fill>
            </x14:dxf>
          </x14:cfRule>
          <xm:sqref>G17</xm:sqref>
        </x14:conditionalFormatting>
        <x14:conditionalFormatting xmlns:xm="http://schemas.microsoft.com/office/excel/2006/main">
          <x14:cfRule type="expression" priority="613" id="{AF958308-CD94-4BAB-A86C-360E370B35B3}">
            <xm:f>'Коллеги_%'!$C$81&gt;=60%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11" id="{B3F1D47C-2E95-4194-BB33-A433C26A4A9A}">
            <xm:f>AND('Коллеги_%'!$C$81&gt;=40%,'Коллеги_%'!$C$81&lt;60%)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12" id="{323123A2-24C2-42E1-BC71-5306228B6D6B}">
            <xm:f>'Коллеги_%'!$C$81&lt;=39%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expression" priority="604" id="{6A7C8BA6-FEC2-45F8-A4DA-DF6AC4295784}">
            <xm:f>'Коллеги_%'!$C$82&gt;=60%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02" id="{67425A91-C410-4BE2-80B6-34A9BF96E538}">
            <xm:f>AND('Коллеги_%'!$C$82&gt;=40%,'Коллеги_%'!$C$82&lt;60%)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03" id="{2AB232C7-6E98-4487-8B43-EE9E1178BA49}">
            <xm:f>'Коллеги_%'!$C$82&lt;=39%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G19</xm:sqref>
        </x14:conditionalFormatting>
        <x14:conditionalFormatting xmlns:xm="http://schemas.microsoft.com/office/excel/2006/main">
          <x14:cfRule type="expression" priority="537" id="{FB8485EA-0011-46A5-8B62-2BA3F1B9D6AF}">
            <xm:f>AND('Коллеги_%'!$C$99&gt;=40%,'Коллеги_%'!$C$99&lt;60%)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38" id="{A2DBEBBB-6375-41A3-91D2-CD4C0F1B80AB}">
            <xm:f>'Коллеги_%'!$C$99&lt;=39%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39" id="{D558D5E8-C9A3-4F9E-BA31-8DBA60EC3A62}">
            <xm:f>'Коллеги_%'!$C$99&gt;=60%</xm:f>
            <x14:dxf>
              <fill>
                <patternFill>
                  <bgColor theme="9" tint="0.39994506668294322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expression" priority="543" id="{6C61116B-DFAD-468B-A618-32784D7F9B34}">
            <xm:f>AND('Коллеги_%'!$C$101&gt;=40%,'Коллеги_%'!$C$101&lt;60%)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44" id="{F740B941-86BC-42E6-BA70-3582254DA5FD}">
            <xm:f>'Коллеги_%'!$C$101&lt;=39%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545" id="{3DB3275D-F237-42B2-9AA8-F5C387458562}">
            <xm:f>'Коллеги_%'!$C$101&gt;=60%</xm:f>
            <x14:dxf>
              <fill>
                <patternFill>
                  <bgColor theme="9" tint="0.39994506668294322"/>
                </patternFill>
              </fill>
            </x14:dxf>
          </x14:cfRule>
          <xm:sqref>G21</xm:sqref>
        </x14:conditionalFormatting>
        <x14:conditionalFormatting xmlns:xm="http://schemas.microsoft.com/office/excel/2006/main">
          <x14:cfRule type="expression" priority="492" id="{3790D85D-BF0B-4453-A9A5-C39439EE52A0}">
            <xm:f>AND('Коллеги_%'!$C$56&gt;=40%,'Коллеги_%'!$C$56&lt;60%)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94" id="{20B11A25-F2A3-433C-9BB9-1B34B81A8F05}">
            <xm:f>'Коллеги_%'!$C$56&gt;=60%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93" id="{869A9228-8CA2-40E1-A173-75979A2D5F9C}">
            <xm:f>'Коллеги_%'!$C$56&lt;=39%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expression" priority="490" id="{3E208F1D-2682-48A2-833A-D832683FA770}">
            <xm:f>'Коллеги_%'!$C$60&lt;=39%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89" id="{84604007-98F7-4FB5-A3C2-9A77C04738FF}">
            <xm:f>AND('Коллеги_%'!$C$60&gt;=40%,'Коллеги_%'!$C$60&lt;60%)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91" id="{A24A2DA6-0815-4E72-8358-6767255B5F27}">
            <xm:f>'Коллеги_%'!$C$60&gt;=60%</xm:f>
            <x14:dxf>
              <fill>
                <patternFill>
                  <bgColor theme="9" tint="0.39994506668294322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expression" priority="488" id="{29EC6E8E-FFF9-4125-8DB3-1511F860CD81}">
            <xm:f>'Коллеги_%'!$C$61&gt;=60%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87" id="{FCF0A313-2C17-4F15-B7E5-2D83D0F49737}">
            <xm:f>'Коллеги_%'!$C$61&lt;=39%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86" id="{0C1A0301-C761-4E31-86EB-6A3DB59D7862}">
            <xm:f>AND('Коллеги_%'!$C$61&gt;=40%,'Коллеги_%'!$C$61&lt;60%)</xm:f>
            <x14:dxf>
              <fill>
                <patternFill>
                  <bgColor theme="7" tint="0.59996337778862885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394" id="{350B7414-3A1E-4179-B108-922DAD797C53}">
            <xm:f>'Коллеги_%'!$C$88&gt;=60%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93" id="{3EC9CBDB-7D98-4697-B0B6-F80F1F15D116}">
            <xm:f>'Коллеги_%'!$C$88&lt;=39%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92" id="{B30A1016-2E82-40D9-A5FE-5C09B9474251}">
            <xm:f>AND('Коллеги_%'!$C$88&gt;=40%,'Коллеги_%'!$C$88&lt;60%)</xm:f>
            <x14:dxf>
              <fill>
                <patternFill>
                  <bgColor theme="7" tint="0.59996337778862885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expression" priority="390" id="{A4CB72D7-B7BD-4C44-9DBB-9B98980B73E7}">
            <xm:f>'Коллеги_%'!$C$89&lt;=39%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91" id="{C227BE0E-579D-4552-8FEF-A7226D50F954}">
            <xm:f>'Коллеги_%'!$C$89&gt;=60%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89" id="{B23E321A-7B00-4185-9429-52B8CDBE198E}">
            <xm:f>AND('Коллеги_%'!$C$89&gt;=40%,'Коллеги_%'!$C$89&lt;60%)</xm:f>
            <x14:dxf>
              <fill>
                <patternFill>
                  <bgColor theme="7" tint="0.59996337778862885"/>
                </patternFill>
              </fill>
            </x14:dxf>
          </x14:cfRule>
          <xm:sqref>G29</xm:sqref>
        </x14:conditionalFormatting>
        <x14:conditionalFormatting xmlns:xm="http://schemas.microsoft.com/office/excel/2006/main">
          <x14:cfRule type="expression" priority="356" id="{C6039718-65DB-488C-A619-C120CCF66CBC}">
            <xm:f>AND('Коллеги_%'!$C$114&gt;=40%,'Коллеги_%'!$C$114&lt;60%)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57" id="{E24DC226-49E5-4C16-B823-816708682F6F}">
            <xm:f>'Коллеги_%'!$C$114&lt;=39%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58" id="{70DF352D-204B-4D99-831A-F52C76BA0905}">
            <xm:f>'Коллеги_%'!$C$114&gt;=60%</xm:f>
            <x14:dxf>
              <fill>
                <patternFill>
                  <bgColor theme="9" tint="0.39994506668294322"/>
                </patternFill>
              </fill>
            </x14:dxf>
          </x14:cfRule>
          <xm:sqref>G30</xm:sqref>
        </x14:conditionalFormatting>
        <x14:conditionalFormatting xmlns:xm="http://schemas.microsoft.com/office/excel/2006/main">
          <x14:cfRule type="expression" priority="354" id="{957E8A31-F80D-42BB-9C34-CB8BC6AB71E8}">
            <xm:f>'Коллеги_%'!$C$117&lt;=39%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55" id="{55C736FD-742A-4812-8E8D-04BBBAA9CF15}">
            <xm:f>'Коллеги_%'!$C$117&gt;=60%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53" id="{5E9F9458-3241-4816-893A-5C00C6BF7D34}">
            <xm:f>AND('Коллеги_%'!$C$117&gt;=40%,'Коллеги_%'!$C$117&lt;60%)</xm:f>
            <x14:dxf>
              <fill>
                <patternFill>
                  <bgColor theme="7" tint="0.59996337778862885"/>
                </patternFill>
              </fill>
            </x14:dxf>
          </x14:cfRule>
          <xm:sqref>G31</xm:sqref>
        </x14:conditionalFormatting>
        <x14:conditionalFormatting xmlns:xm="http://schemas.microsoft.com/office/excel/2006/main">
          <x14:cfRule type="expression" priority="350" id="{C87A39CE-712D-4762-B1C9-CE7D280CD270}">
            <xm:f>AND('Коллеги_%'!$C$115&gt;=40%,'Коллеги_%'!$C$115&lt;60%)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51" id="{6ED9BDA8-7D30-450B-A363-2B8718DC9754}">
            <xm:f>'Коллеги_%'!$C$115&lt;=39%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52" id="{D1F6DF5E-F254-43FE-B4DB-D27C1883DFC0}">
            <xm:f>'Коллеги_%'!$C$115&gt;=60%</xm:f>
            <x14:dxf>
              <fill>
                <patternFill>
                  <bgColor theme="9" tint="0.39994506668294322"/>
                </patternFill>
              </fill>
            </x14:dxf>
          </x14:cfRule>
          <xm:sqref>G32</xm:sqref>
        </x14:conditionalFormatting>
        <x14:conditionalFormatting xmlns:xm="http://schemas.microsoft.com/office/excel/2006/main">
          <x14:cfRule type="expression" priority="686" id="{05D11E28-F37C-465C-B153-A061510F9F8B}">
            <xm:f>'Коллеги_%'!$C$43&lt;=39%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87" id="{898E91F3-4642-49F5-8189-70FF99883E14}">
            <xm:f>'Коллеги_%'!$C$43&gt;=60%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85" id="{184DFF48-4B75-4A35-9B83-3D835B7566A1}">
            <xm:f>AND('Коллеги_%'!$C$43&gt;=40%,'Коллеги_%'!$C$43&lt;60%)</xm:f>
            <x14:dxf>
              <fill>
                <patternFill>
                  <bgColor theme="7" tint="0.59996337778862885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expression" priority="682" id="{AF435110-5E76-4D30-AECB-032495C82DD2}">
            <xm:f>AND('Коллеги_%'!$C$48&gt;=40%,'Коллеги_%'!$C$48&lt;60%)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83" id="{29152722-3E8B-4144-B98B-5A7458A0AF42}">
            <xm:f>'Коллеги_%'!$C$48&lt;=39%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84" id="{98803471-7236-48AA-BEFF-51330A45EE86}">
            <xm:f>'Коллеги_%'!$C$48&gt;=60%</xm:f>
            <x14:dxf>
              <fill>
                <patternFill>
                  <bgColor theme="9" tint="0.39994506668294322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expression" priority="610" id="{D8B6147C-8572-4C66-BB0E-BCA9C4A2B0C9}">
            <xm:f>'Коллеги_%'!$C$76&gt;=60%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09" id="{0716EAA4-41D6-465D-ACA0-A897CE81B4AF}">
            <xm:f>'Коллеги_%'!$C$76&lt;=39%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08" id="{3D42B1E0-8C11-43AD-A9C4-E8A1B3F313E1}">
            <xm:f>AND('Коллеги_%'!$C$76&gt;=40%,'Коллеги_%'!$C$76&lt;60%)</xm:f>
            <x14:dxf>
              <fill>
                <patternFill>
                  <bgColor theme="7" tint="0.59996337778862885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expression" priority="485" id="{4FFA198C-AC7E-4358-ADBC-92B98AF2F0D4}">
            <xm:f>'Коллеги_%'!$C$55&gt;=60%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83" id="{56BC19C0-60F7-4017-B0C1-43BDF076FB7F}">
            <xm:f>AND('Коллеги_%'!$C$55&gt;=40%,'Коллеги_%'!$C$55&lt;60%)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84" id="{DD15745A-5BA5-4B0A-94C9-54EEA2A65E54}">
            <xm:f>'Коллеги_%'!$C$55&lt;=39%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I23</xm:sqref>
        </x14:conditionalFormatting>
        <x14:conditionalFormatting xmlns:xm="http://schemas.microsoft.com/office/excel/2006/main">
          <x14:cfRule type="expression" priority="480" id="{265CB804-A407-4AFC-8806-E010CDB35D8E}">
            <xm:f>AND('Коллеги_%'!$C$59&gt;=40%,'Коллеги_%'!$C$59&lt;60%)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81" id="{CD5CF1EB-A335-428D-8CAE-D532B9FE48C2}">
            <xm:f>'Коллеги_%'!$C$59&lt;=39%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82" id="{68266A9D-8E7E-4013-942F-779647515605}">
            <xm:f>'Коллеги_%'!$C$59&gt;=60%</xm:f>
            <x14:dxf>
              <fill>
                <patternFill>
                  <bgColor theme="9" tint="0.39994506668294322"/>
                </patternFill>
              </fill>
            </x14:dxf>
          </x14:cfRule>
          <xm:sqref>I24</xm:sqref>
        </x14:conditionalFormatting>
        <x14:conditionalFormatting xmlns:xm="http://schemas.microsoft.com/office/excel/2006/main">
          <x14:cfRule type="expression" priority="477" id="{366648AF-C0F2-412E-8EA1-F89642148EEF}">
            <xm:f>AND('Коллеги_%'!$C$62&gt;=40%,'Коллеги_%'!$C$62&lt;60%)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78" id="{B9FD7454-ABC1-4177-879E-CB7B26AFDE46}">
            <xm:f>'Коллеги_%'!$C$62&lt;=39%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79" id="{4A1082F7-5D8E-4B16-9914-3A3083CFAF62}">
            <xm:f>'Коллеги_%'!$C$62&gt;=60%</xm:f>
            <x14:dxf>
              <fill>
                <patternFill>
                  <bgColor theme="9" tint="0.39994506668294322"/>
                </patternFill>
              </fill>
            </x14:dxf>
          </x14:cfRule>
          <xm:sqref>I25</xm:sqref>
        </x14:conditionalFormatting>
        <x14:conditionalFormatting xmlns:xm="http://schemas.microsoft.com/office/excel/2006/main">
          <x14:cfRule type="expression" priority="474" id="{231F4767-C8FA-4638-B328-F3A42A97611B}">
            <xm:f>AND('Коллеги_%'!$C$64&gt;=40%,'Коллеги_%'!$C$64&lt;60%)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76" id="{EB97EDD9-18E3-4364-8191-C79FB5280BCE}">
            <xm:f>'Коллеги_%'!$C$64&gt;=60%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75" id="{1C1073B3-CBF3-459B-93EB-B16E66DB8847}">
            <xm:f>'Коллеги_%'!$C$64&lt;=39%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I26</xm:sqref>
        </x14:conditionalFormatting>
        <x14:conditionalFormatting xmlns:xm="http://schemas.microsoft.com/office/excel/2006/main">
          <x14:cfRule type="expression" priority="473" id="{1D752A0C-C538-4267-8DC2-A28CEF0C5FC0}">
            <xm:f>'Коллеги_%'!$C$65&gt;=60%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71" id="{27699A13-5500-4C7C-8A61-A7F8AEAE4ABB}">
            <xm:f>AND('Коллеги_%'!$C$65&gt;=40%,'Коллеги_%'!$C$65&lt;60%)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72" id="{A64DD6BB-E455-48B0-97DA-91F3CCEE0662}">
            <xm:f>'Коллеги_%'!$C$65&lt;=39%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I27</xm:sqref>
        </x14:conditionalFormatting>
        <x14:conditionalFormatting xmlns:xm="http://schemas.microsoft.com/office/excel/2006/main">
          <x14:cfRule type="expression" priority="386" id="{A19F69A5-C0B3-487E-8600-1552F5A2F80A}">
            <xm:f>AND('Коллеги_%'!$C$90&gt;=40%,'Коллеги_%'!$C$90&lt;60%)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87" id="{20B3C532-142C-4EF1-9A82-0F7D1C244ABF}">
            <xm:f>'Коллеги_%'!$C$90&lt;=39%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88" id="{C392C48C-F28A-4B18-B5CA-7AD3BB2B7222}">
            <xm:f>'Коллеги_%'!$C$90&gt;=60%</xm:f>
            <x14:dxf>
              <fill>
                <patternFill>
                  <bgColor theme="9" tint="0.39994506668294322"/>
                </patternFill>
              </fill>
            </x14:dxf>
          </x14:cfRule>
          <xm:sqref>I28</xm:sqref>
        </x14:conditionalFormatting>
        <x14:conditionalFormatting xmlns:xm="http://schemas.microsoft.com/office/excel/2006/main">
          <x14:cfRule type="expression" priority="383" id="{D3AB6C99-A413-48E1-B3CA-3A4EA3034B17}">
            <xm:f>AND('Коллеги_%'!$C$93&gt;=40%,'Коллеги_%'!$C$93&lt;60%)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85" id="{017550AB-14B2-46D6-B4CC-EAA54034AEEC}">
            <xm:f>'Коллеги_%'!$C$93&gt;=60%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84" id="{39BFD7F4-9D84-4664-8C01-24706AB29A5D}">
            <xm:f>'Коллеги_%'!$C$93&lt;=39%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I29</xm:sqref>
        </x14:conditionalFormatting>
        <x14:conditionalFormatting xmlns:xm="http://schemas.microsoft.com/office/excel/2006/main">
          <x14:cfRule type="expression" priority="348" id="{867E51DD-9F80-4DE5-BD5B-2D77D7A0B165}">
            <xm:f>'Коллеги_%'!$C$116&lt;=39%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47" id="{99B14122-F983-40C3-A9E4-E89406102CB2}">
            <xm:f>AND('Коллеги_%'!$C$116&gt;=40%,'Коллеги_%'!$C$116&lt;60%)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49" id="{3F99E60C-34F8-4F9C-A0F0-45F79BF8149C}">
            <xm:f>'Коллеги_%'!$C$116&gt;=60%</xm:f>
            <x14:dxf>
              <fill>
                <patternFill>
                  <bgColor theme="9" tint="0.39994506668294322"/>
                </patternFill>
              </fill>
            </x14:dxf>
          </x14:cfRule>
          <xm:sqref>I30</xm:sqref>
        </x14:conditionalFormatting>
        <x14:conditionalFormatting xmlns:xm="http://schemas.microsoft.com/office/excel/2006/main">
          <x14:cfRule type="expression" priority="319" id="{EB4EA272-5831-423D-81DA-A9AB6B7C93A1}">
            <xm:f>AND('Коллеги_%'!$C$108&gt;=40%,'Коллеги_%'!$C$108&lt;60%)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20" id="{40546E54-8825-4555-9285-04B314329DB5}">
            <xm:f>'Коллеги_%'!$C$108&lt;=39%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21" id="{0DBD9D73-F00B-4B60-8964-5DD08FFD7523}">
            <xm:f>'Коллеги_%'!$C$108&gt;=60%</xm:f>
            <x14:dxf>
              <fill>
                <patternFill>
                  <bgColor theme="9" tint="0.39994506668294322"/>
                </patternFill>
              </fill>
            </x14:dxf>
          </x14:cfRule>
          <xm:sqref>I33</xm:sqref>
        </x14:conditionalFormatting>
        <x14:conditionalFormatting xmlns:xm="http://schemas.microsoft.com/office/excel/2006/main">
          <x14:cfRule type="expression" priority="679" id="{632079F3-5B15-4946-B2B2-6D038326BE32}">
            <xm:f>AND('Коллеги_%'!$C$44&gt;=40%,'Коллеги_%'!$C$44&lt;60%)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80" id="{4FECC0E0-A625-4C75-8B58-E1B91FFDB0DA}">
            <xm:f>'Коллеги_%'!$C$44&lt;=39%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81" id="{4703DDD9-BF70-4B28-AC12-F5EE8F60C485}">
            <xm:f>'Коллеги_%'!$C$44&gt;=60%</xm:f>
            <x14:dxf>
              <fill>
                <patternFill>
                  <bgColor theme="9" tint="0.39994506668294322"/>
                </patternFill>
              </fill>
            </x14:dxf>
          </x14:cfRule>
          <xm:sqref>K12</xm:sqref>
        </x14:conditionalFormatting>
        <x14:conditionalFormatting xmlns:xm="http://schemas.microsoft.com/office/excel/2006/main">
          <x14:cfRule type="expression" priority="607" id="{8D4814F6-13F8-4EB8-AEE4-501A82B1C91C}">
            <xm:f>'Коллеги_%'!$C$83&gt;=60%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06" id="{8F50631B-2EC6-4B51-910C-BB1857834F24}">
            <xm:f>'Коллеги_%'!$C$83&lt;=39%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605" id="{96D9A876-AC0D-429D-9AD7-99C489170347}">
            <xm:f>AND('Коллеги_%'!$C$83&gt;=40%,'Коллеги_%'!$C$83&lt;60%)</xm:f>
            <x14:dxf>
              <fill>
                <patternFill>
                  <bgColor theme="7" tint="0.59996337778862885"/>
                </patternFill>
              </fill>
            </x14:dxf>
          </x14:cfRule>
          <xm:sqref>K16</xm:sqref>
        </x14:conditionalFormatting>
        <x14:conditionalFormatting xmlns:xm="http://schemas.microsoft.com/office/excel/2006/main">
          <x14:cfRule type="expression" priority="470" id="{08588D51-8ED4-4534-96D9-E553F860FF29}">
            <xm:f>'Коллеги_%'!$C$69&gt;=60%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69" id="{901DF746-CAA7-41F3-B081-2B90C3C2EDED}">
            <xm:f>'Коллеги_%'!$C$69&lt;=39%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68" id="{A5A16F92-83D4-47B8-B4CD-44CB96B8127A}">
            <xm:f>AND('Коллеги_%'!$C$69&gt;=40%,'Коллеги_%'!$C$69&lt;60%)</xm:f>
            <x14:dxf>
              <fill>
                <patternFill>
                  <bgColor theme="7" tint="0.59996337778862885"/>
                </patternFill>
              </fill>
            </x14:dxf>
          </x14:cfRule>
          <xm:sqref>K23</xm:sqref>
        </x14:conditionalFormatting>
        <x14:conditionalFormatting xmlns:xm="http://schemas.microsoft.com/office/excel/2006/main">
          <x14:cfRule type="expression" priority="467" id="{22FE5DCC-2B93-40D5-9959-095002AEC7E9}">
            <xm:f>'Коллеги_%'!$C$70&gt;=60%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466" id="{5B082DC3-614C-4288-9F9E-3CE50ED2A0A9}">
            <xm:f>'Коллеги_%'!$C$70&lt;=39%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465" id="{22AAD1F2-BF12-439F-82EB-9B38B5C8E65D}">
            <xm:f>AND('Коллеги_%'!$C$70&gt;=40%,'Коллеги_%'!$C$70&lt;60%)</xm:f>
            <x14:dxf>
              <fill>
                <patternFill>
                  <bgColor theme="7" tint="0.59996337778862885"/>
                </patternFill>
              </fill>
            </x14:dxf>
          </x14:cfRule>
          <xm:sqref>K24</xm:sqref>
        </x14:conditionalFormatting>
        <x14:conditionalFormatting xmlns:xm="http://schemas.microsoft.com/office/excel/2006/main">
          <x14:cfRule type="expression" priority="318" id="{475031D6-EC44-4961-BDE2-0B7B103F5C91}">
            <xm:f>'Коллеги_%'!$C$109&gt;=60%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16" id="{66A20E8B-D794-4EAA-8016-DDF119B3753A}">
            <xm:f>AND('Коллеги_%'!$C$109&gt;=40%,'Коллеги_%'!$C$109&lt;60%)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17" id="{394813C3-B104-489B-A4B2-B107FE66507C}">
            <xm:f>'Коллеги_%'!$C$109&lt;=39%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K33</xm:sqref>
        </x14:conditionalFormatting>
        <x14:conditionalFormatting xmlns:xm="http://schemas.microsoft.com/office/excel/2006/main">
          <x14:cfRule type="expression" priority="313" id="{B9AAA027-F2F9-4842-9519-4731424DBA75}">
            <xm:f>AND('Коллеги_%'!$C$110&gt;=40%,'Коллеги_%'!$C$110&lt;60%)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14" id="{60A2F71F-80EC-43B2-9310-5BE04E9D5061}">
            <xm:f>'Коллеги_%'!$C$110&lt;=39%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14:cfRule type="expression" priority="315" id="{DD6D9D1B-13C5-4467-9505-EC1E4B64D5F9}">
            <xm:f>'Коллеги_%'!$C$110&gt;=60%</xm:f>
            <x14:dxf>
              <fill>
                <patternFill>
                  <bgColor theme="9" tint="0.39994506668294322"/>
                </patternFill>
              </fill>
            </x14:dxf>
          </x14:cfRule>
          <xm:sqref>K34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815C-336B-4BE7-9E01-7CD75753FDDC}">
  <sheetPr codeName="Sheet8"/>
  <dimension ref="A2:R7"/>
  <sheetViews>
    <sheetView zoomScale="65" zoomScaleNormal="65" workbookViewId="0">
      <selection activeCell="A3" sqref="A3:F6"/>
    </sheetView>
  </sheetViews>
  <sheetFormatPr defaultRowHeight="15" x14ac:dyDescent="0.25"/>
  <cols>
    <col min="1" max="1" width="42.140625" customWidth="1"/>
    <col min="2" max="2" width="34.42578125" customWidth="1"/>
    <col min="3" max="3" width="15.28515625" customWidth="1"/>
    <col min="4" max="4" width="12.140625" hidden="1" customWidth="1"/>
    <col min="5" max="5" width="5.5703125" hidden="1" customWidth="1"/>
    <col min="6" max="6" width="6.5703125" customWidth="1"/>
  </cols>
  <sheetData>
    <row r="2" spans="1:18" x14ac:dyDescent="0.25">
      <c r="A2" t="s">
        <v>24</v>
      </c>
    </row>
    <row r="3" spans="1:18" ht="113.45" customHeight="1" x14ac:dyDescent="0.25">
      <c r="A3" s="197" t="str">
        <f>_xlfn.TEXTJOIN("
",1,'Оценка коллег'!E3:E24)</f>
        <v xml:space="preserve">Дарья, объясняла мне реестры и вводила в курс дел на проекте "Миграция". Объяснение было четким и понятным, к ней всегда можно было обратиться за советом и получить ответ или понять куда обратиться далее для решения моей рабочей задачи. С Дарьей очень приятно работать. </v>
      </c>
      <c r="B3" s="197"/>
      <c r="C3" s="197"/>
      <c r="D3" s="197"/>
      <c r="E3" s="197"/>
      <c r="F3" s="197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 ht="14.1" hidden="1" customHeight="1" x14ac:dyDescent="0.25">
      <c r="A4" s="197"/>
      <c r="B4" s="197"/>
      <c r="C4" s="197"/>
      <c r="D4" s="197"/>
      <c r="E4" s="197"/>
      <c r="F4" s="197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11.1" hidden="1" customHeight="1" x14ac:dyDescent="0.25">
      <c r="A5" s="197"/>
      <c r="B5" s="197"/>
      <c r="C5" s="197"/>
      <c r="D5" s="197"/>
      <c r="E5" s="197"/>
      <c r="F5" s="197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18" ht="9.6" customHeight="1" x14ac:dyDescent="0.25">
      <c r="A6" s="197"/>
      <c r="B6" s="197"/>
      <c r="C6" s="197"/>
      <c r="D6" s="197"/>
      <c r="E6" s="197"/>
      <c r="F6" s="197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</row>
    <row r="7" spans="1:18" ht="69.599999999999994" customHeight="1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</row>
  </sheetData>
  <mergeCells count="1">
    <mergeCell ref="A3:F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258B-2BA6-4AEE-9AB4-0B7A550B2137}">
  <sheetPr codeName="Sheet7"/>
  <dimension ref="A2:K11"/>
  <sheetViews>
    <sheetView zoomScale="70" zoomScaleNormal="70" workbookViewId="0">
      <selection activeCell="A6" sqref="A6:H8"/>
    </sheetView>
  </sheetViews>
  <sheetFormatPr defaultRowHeight="15" x14ac:dyDescent="0.25"/>
  <cols>
    <col min="4" max="4" width="44" customWidth="1"/>
    <col min="9" max="9" width="0.140625" customWidth="1"/>
    <col min="10" max="10" width="8.7109375" hidden="1" customWidth="1"/>
  </cols>
  <sheetData>
    <row r="2" spans="1:11" ht="18" x14ac:dyDescent="0.25">
      <c r="A2" s="200" t="s">
        <v>23</v>
      </c>
      <c r="B2" s="200"/>
      <c r="C2" s="200"/>
      <c r="D2" s="200"/>
    </row>
    <row r="3" spans="1:11" ht="25.5" customHeight="1" x14ac:dyDescent="0.25">
      <c r="A3" s="198"/>
      <c r="B3" s="199"/>
      <c r="C3" s="199"/>
      <c r="D3" s="199"/>
    </row>
    <row r="5" spans="1:11" x14ac:dyDescent="0.25">
      <c r="A5" t="s">
        <v>29</v>
      </c>
    </row>
    <row r="6" spans="1:11" ht="243.6" customHeight="1" x14ac:dyDescent="0.25">
      <c r="A6" s="150" t="str">
        <f>_xlfn.TEXTJOIN("
",1,'Оценка коллег'!CX3:CX23)</f>
        <v xml:space="preserve">зоны роста - это насмотренность и опыт, надо больше опыта
У Дарьи есть уверенность в том, что она делает и хочет донести коллегам, способность подробно формулировать алгоритм действий в той или иной задаче, думаю, из нее получится хороший наставник (возможно попробует себя в роли наставника стажера).
задачи СКИМ Ц/ЦЗ-1
С софт-скилами всё отлично, будет верным решением заниматься поднятием уровня хард-скилов.
Возможно больше уверенности в своих знаниях и силах.  У нее классно получается быть наставником и объяснять людям процессы и задачи
уверенности в себе, а так молодец)
1) Повышение экспертного уровня в рамках проекта (наращивание объема знаний)
</v>
      </c>
      <c r="B6" s="150"/>
      <c r="C6" s="150"/>
      <c r="D6" s="150"/>
      <c r="E6" s="150"/>
      <c r="F6" s="150"/>
      <c r="G6" s="150"/>
      <c r="H6" s="150"/>
      <c r="I6" s="86"/>
      <c r="J6" s="86"/>
      <c r="K6" s="86"/>
    </row>
    <row r="7" spans="1:11" s="86" customFormat="1" ht="5.45" customHeight="1" x14ac:dyDescent="0.25">
      <c r="A7" s="150"/>
      <c r="B7" s="150"/>
      <c r="C7" s="150"/>
      <c r="D7" s="150"/>
      <c r="E7" s="150"/>
      <c r="F7" s="150"/>
      <c r="G7" s="150"/>
      <c r="H7" s="150"/>
    </row>
    <row r="8" spans="1:11" s="86" customFormat="1" ht="12" customHeight="1" x14ac:dyDescent="0.25">
      <c r="A8" s="150"/>
      <c r="B8" s="150"/>
      <c r="C8" s="150"/>
      <c r="D8" s="150"/>
      <c r="E8" s="150"/>
      <c r="F8" s="150"/>
      <c r="G8" s="150"/>
      <c r="H8" s="150"/>
    </row>
    <row r="9" spans="1:11" ht="18" x14ac:dyDescent="0.35">
      <c r="A9" s="13" t="s">
        <v>7</v>
      </c>
      <c r="B9" s="3"/>
      <c r="C9" s="3"/>
      <c r="D9" s="3"/>
    </row>
    <row r="10" spans="1:11" ht="226.5" customHeight="1" x14ac:dyDescent="0.25">
      <c r="A10" s="201" t="str">
        <f>_xlfn.TEXTJOIN("
",1,'Оценка коллег'!CY3:CY24)</f>
        <v xml:space="preserve">Даша большая молодец, вдохнула в нашу команду свежесть и инициативу, спасибо
Открытость, внимание к деталям 
Благодарю Дашу за супер-ответственность и вовлеченность во все процессы.
За активную помощь в текущей задаче, заинтересованность.
Спасибо за уделенное время для моей адаптации на проекте и в команде
Активная, отзывчивая, хвалю за всё)
Отдельный лайк за краткое резюме при получении какой-либо информации)
Хочу похвалить за:
1) Высокая ответственность и надежность
2) Готовность помочь коллегам и делиться знаниями
3) Хорошую адаптацию к новым (и не всегда легким) задачам
4) Качественную проработку задач
</v>
      </c>
      <c r="B10" s="201"/>
      <c r="C10" s="201"/>
      <c r="D10" s="201"/>
      <c r="E10" s="201"/>
      <c r="F10" s="201"/>
      <c r="G10" s="201"/>
      <c r="H10" s="201"/>
      <c r="I10" s="201"/>
      <c r="J10" s="201"/>
      <c r="K10" s="49"/>
    </row>
    <row r="11" spans="1:11" ht="72.599999999999994" customHeight="1" x14ac:dyDescent="0.25">
      <c r="A11" s="201"/>
      <c r="B11" s="201"/>
      <c r="C11" s="201"/>
      <c r="D11" s="201"/>
      <c r="E11" s="201"/>
      <c r="F11" s="201"/>
      <c r="G11" s="201"/>
      <c r="H11" s="201"/>
      <c r="I11" s="201"/>
      <c r="J11" s="201"/>
      <c r="K11" s="49"/>
    </row>
  </sheetData>
  <mergeCells count="4">
    <mergeCell ref="A3:D3"/>
    <mergeCell ref="A2:D2"/>
    <mergeCell ref="A10:J11"/>
    <mergeCell ref="A6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acd45-cf57-493b-937c-b2b471ac33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3D8B3C1D696154E9BB128B2E85BCB70" ma:contentTypeVersion="16" ma:contentTypeDescription="Создание документа." ma:contentTypeScope="" ma:versionID="e9c98be3d855dcb3d9de6985521e8ccf">
  <xsd:schema xmlns:xsd="http://www.w3.org/2001/XMLSchema" xmlns:xs="http://www.w3.org/2001/XMLSchema" xmlns:p="http://schemas.microsoft.com/office/2006/metadata/properties" xmlns:ns3="8251711a-7aad-486a-ac48-0da0fe532bb1" xmlns:ns4="356acd45-cf57-493b-937c-b2b471ac335d" targetNamespace="http://schemas.microsoft.com/office/2006/metadata/properties" ma:root="true" ma:fieldsID="ade79d40135ff562f5b0dffd52a11919" ns3:_="" ns4:_="">
    <xsd:import namespace="8251711a-7aad-486a-ac48-0da0fe532bb1"/>
    <xsd:import namespace="356acd45-cf57-493b-937c-b2b471ac335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SearchPropertie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711a-7aad-486a-ac48-0da0fe532bb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Хэш подсказки о совместном доступе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acd45-cf57-493b-937c-b2b471ac3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77AA5-0F76-4AE3-BD38-E4838A3317E7}">
  <ds:schemaRefs>
    <ds:schemaRef ds:uri="http://purl.org/dc/dcmitype/"/>
    <ds:schemaRef ds:uri="http://schemas.microsoft.com/office/2006/documentManagement/types"/>
    <ds:schemaRef ds:uri="http://www.w3.org/XML/1998/namespace"/>
    <ds:schemaRef ds:uri="356acd45-cf57-493b-937c-b2b471ac335d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251711a-7aad-486a-ac48-0da0fe532bb1"/>
  </ds:schemaRefs>
</ds:datastoreItem>
</file>

<file path=customXml/itemProps2.xml><?xml version="1.0" encoding="utf-8"?>
<ds:datastoreItem xmlns:ds="http://schemas.openxmlformats.org/officeDocument/2006/customXml" ds:itemID="{40063EF4-101E-466C-942E-B1044F5255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CDD7C7-EB1F-462A-AAC9-276280AFF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1711a-7aad-486a-ac48-0da0fe532bb1"/>
    <ds:schemaRef ds:uri="356acd45-cf57-493b-937c-b2b471ac3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Основные сведения + цели</vt:lpstr>
      <vt:lpstr>Самооценка сотрудника</vt:lpstr>
      <vt:lpstr>Удовлетворенность сотрудника</vt:lpstr>
      <vt:lpstr>Оценка коллег</vt:lpstr>
      <vt:lpstr>Коллеги_%</vt:lpstr>
      <vt:lpstr>Матрица1</vt:lpstr>
      <vt:lpstr>Матрица soft skills</vt:lpstr>
      <vt:lpstr>Коллеги_комментарии</vt:lpstr>
      <vt:lpstr>Коллеги_похвала и что улучшить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Uspenskiy Ivan</dc:creator>
  <cp:lastModifiedBy>Игнатьев Андрей</cp:lastModifiedBy>
  <dcterms:created xsi:type="dcterms:W3CDTF">2023-02-13T13:08:44Z</dcterms:created>
  <dcterms:modified xsi:type="dcterms:W3CDTF">2026-10-12T14:40:25Z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0x01010033D8B3C1D696154E9BB128B2E85BCB70</vt:lpwstr>
  </property>
</Properties>
</file>