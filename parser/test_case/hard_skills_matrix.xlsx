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ндрюшка-Мишка\Downloads\"/>
    </mc:Choice>
  </mc:AlternateContent>
  <xr:revisionPtr revIDLastSave="0" documentId="13_ncr:1_{0C26C594-78C6-4C04-A2B8-315F181A2B68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Чеклис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E13" i="1"/>
  <c r="E219" i="1"/>
  <c r="E218" i="1"/>
  <c r="E217" i="1"/>
  <c r="E216" i="1"/>
  <c r="F215" i="1"/>
  <c r="E213" i="1"/>
  <c r="E212" i="1"/>
  <c r="E211" i="1"/>
  <c r="E210" i="1"/>
  <c r="F209" i="1"/>
  <c r="E207" i="1"/>
  <c r="E206" i="1"/>
  <c r="E205" i="1"/>
  <c r="E204" i="1"/>
  <c r="M201" i="1"/>
  <c r="E199" i="1"/>
  <c r="E198" i="1"/>
  <c r="E197" i="1"/>
  <c r="E196" i="1"/>
  <c r="F195" i="1"/>
  <c r="E193" i="1"/>
  <c r="E192" i="1"/>
  <c r="E191" i="1"/>
  <c r="E190" i="1"/>
  <c r="F189" i="1"/>
  <c r="F187" i="1" s="1"/>
  <c r="O15" i="1" s="1"/>
  <c r="M187" i="1"/>
  <c r="E185" i="1"/>
  <c r="E184" i="1"/>
  <c r="E183" i="1"/>
  <c r="E182" i="1"/>
  <c r="F181" i="1" s="1"/>
  <c r="E179" i="1"/>
  <c r="F175" i="1" s="1"/>
  <c r="E178" i="1"/>
  <c r="E177" i="1"/>
  <c r="E176" i="1"/>
  <c r="E173" i="1"/>
  <c r="E172" i="1"/>
  <c r="E171" i="1"/>
  <c r="E170" i="1"/>
  <c r="F169" i="1"/>
  <c r="E167" i="1"/>
  <c r="E166" i="1"/>
  <c r="E165" i="1"/>
  <c r="E164" i="1"/>
  <c r="E161" i="1"/>
  <c r="E160" i="1"/>
  <c r="E159" i="1"/>
  <c r="E158" i="1"/>
  <c r="E155" i="1"/>
  <c r="E154" i="1"/>
  <c r="E153" i="1"/>
  <c r="E152" i="1"/>
  <c r="F151" i="1"/>
  <c r="M149" i="1"/>
  <c r="E147" i="1"/>
  <c r="E146" i="1"/>
  <c r="E145" i="1"/>
  <c r="E144" i="1"/>
  <c r="E141" i="1"/>
  <c r="E140" i="1"/>
  <c r="E139" i="1"/>
  <c r="E138" i="1"/>
  <c r="M135" i="1"/>
  <c r="E133" i="1"/>
  <c r="E132" i="1"/>
  <c r="E131" i="1"/>
  <c r="E130" i="1"/>
  <c r="F129" i="1" s="1"/>
  <c r="F127" i="1" s="1"/>
  <c r="O12" i="1" s="1"/>
  <c r="M127" i="1"/>
  <c r="E125" i="1"/>
  <c r="E124" i="1"/>
  <c r="E123" i="1"/>
  <c r="E122" i="1"/>
  <c r="E119" i="1"/>
  <c r="E118" i="1"/>
  <c r="E117" i="1"/>
  <c r="E116" i="1"/>
  <c r="E113" i="1"/>
  <c r="E112" i="1"/>
  <c r="E111" i="1"/>
  <c r="E110" i="1"/>
  <c r="M107" i="1"/>
  <c r="E105" i="1"/>
  <c r="E104" i="1"/>
  <c r="E103" i="1"/>
  <c r="E102" i="1"/>
  <c r="F101" i="1"/>
  <c r="E99" i="1"/>
  <c r="E98" i="1"/>
  <c r="E97" i="1"/>
  <c r="E96" i="1"/>
  <c r="M93" i="1"/>
  <c r="M92" i="1"/>
  <c r="E91" i="1"/>
  <c r="E90" i="1"/>
  <c r="E89" i="1"/>
  <c r="E88" i="1"/>
  <c r="E85" i="1"/>
  <c r="E84" i="1"/>
  <c r="E83" i="1"/>
  <c r="E82" i="1"/>
  <c r="F81" i="1" s="1"/>
  <c r="E79" i="1"/>
  <c r="E78" i="1"/>
  <c r="E77" i="1"/>
  <c r="E76" i="1"/>
  <c r="M73" i="1"/>
  <c r="E71" i="1"/>
  <c r="E70" i="1"/>
  <c r="E69" i="1"/>
  <c r="E68" i="1"/>
  <c r="M65" i="1"/>
  <c r="E63" i="1"/>
  <c r="E62" i="1"/>
  <c r="E61" i="1"/>
  <c r="E60" i="1"/>
  <c r="E57" i="1"/>
  <c r="E56" i="1"/>
  <c r="E55" i="1"/>
  <c r="E54" i="1"/>
  <c r="F53" i="1" s="1"/>
  <c r="E51" i="1"/>
  <c r="E50" i="1"/>
  <c r="E49" i="1"/>
  <c r="E48" i="1"/>
  <c r="E45" i="1"/>
  <c r="E44" i="1"/>
  <c r="E43" i="1"/>
  <c r="E42" i="1"/>
  <c r="E39" i="1"/>
  <c r="E38" i="1"/>
  <c r="E37" i="1"/>
  <c r="E36" i="1"/>
  <c r="M33" i="1"/>
  <c r="E31" i="1"/>
  <c r="E30" i="1"/>
  <c r="E29" i="1"/>
  <c r="E28" i="1"/>
  <c r="E25" i="1"/>
  <c r="E24" i="1"/>
  <c r="E23" i="1"/>
  <c r="E22" i="1"/>
  <c r="E19" i="1"/>
  <c r="E18" i="1"/>
  <c r="E17" i="1"/>
  <c r="S16" i="1"/>
  <c r="R16" i="1"/>
  <c r="Q16" i="1"/>
  <c r="P16" i="1"/>
  <c r="E16" i="1"/>
  <c r="S15" i="1"/>
  <c r="R15" i="1"/>
  <c r="Q15" i="1"/>
  <c r="P15" i="1"/>
  <c r="S14" i="1"/>
  <c r="R14" i="1"/>
  <c r="Q14" i="1"/>
  <c r="P14" i="1"/>
  <c r="S13" i="1"/>
  <c r="R13" i="1"/>
  <c r="Q13" i="1"/>
  <c r="P13" i="1"/>
  <c r="S12" i="1"/>
  <c r="R12" i="1"/>
  <c r="Q12" i="1"/>
  <c r="P12" i="1"/>
  <c r="E12" i="1"/>
  <c r="S11" i="1"/>
  <c r="R11" i="1"/>
  <c r="Q11" i="1"/>
  <c r="P11" i="1"/>
  <c r="E11" i="1"/>
  <c r="S10" i="1"/>
  <c r="R10" i="1"/>
  <c r="Q10" i="1"/>
  <c r="P10" i="1"/>
  <c r="E10" i="1"/>
  <c r="T9" i="1"/>
  <c r="S9" i="1"/>
  <c r="R9" i="1"/>
  <c r="Q9" i="1"/>
  <c r="P9" i="1"/>
  <c r="S8" i="1"/>
  <c r="R8" i="1"/>
  <c r="Q8" i="1"/>
  <c r="P8" i="1"/>
  <c r="S7" i="1"/>
  <c r="R7" i="1"/>
  <c r="Q7" i="1"/>
  <c r="P7" i="1"/>
  <c r="M7" i="1"/>
  <c r="S6" i="1"/>
  <c r="R6" i="1"/>
  <c r="Q6" i="1"/>
  <c r="P6" i="1"/>
  <c r="F203" i="1" l="1"/>
  <c r="F201" i="1" s="1"/>
  <c r="O16" i="1" s="1"/>
  <c r="F59" i="1"/>
  <c r="F157" i="1"/>
  <c r="F149" i="1" s="1"/>
  <c r="O14" i="1" s="1"/>
  <c r="F143" i="1"/>
  <c r="F115" i="1"/>
  <c r="F87" i="1"/>
  <c r="F95" i="1"/>
  <c r="F93" i="1" s="1"/>
  <c r="O10" i="1" s="1"/>
  <c r="F163" i="1"/>
  <c r="F47" i="1"/>
  <c r="F121" i="1"/>
  <c r="F75" i="1"/>
  <c r="F73" i="1" s="1"/>
  <c r="O9" i="1" s="1"/>
  <c r="F35" i="1"/>
  <c r="F67" i="1"/>
  <c r="F65" i="1" s="1"/>
  <c r="O8" i="1" s="1"/>
  <c r="F109" i="1"/>
  <c r="F107" i="1" s="1"/>
  <c r="O11" i="1" s="1"/>
  <c r="F41" i="1"/>
  <c r="F137" i="1"/>
  <c r="F135" i="1" s="1"/>
  <c r="O13" i="1" s="1"/>
  <c r="F21" i="1"/>
  <c r="F15" i="1"/>
  <c r="F27" i="1"/>
  <c r="F7" i="1"/>
  <c r="O6" i="1" s="1"/>
  <c r="F33" i="1" l="1"/>
  <c r="O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https://youtrack.korusconsulting.ru/articles/DAR-A-1705219/03.01.00-Podgotovka-i-provedenie-intervyu
https://youtrack.korusconsulting.ru/articles/DAR-A-1705149/03.02.-Tehnicheskoe-zadanie
https://youtrack.korusconsulting.ru/articles/POJ-A-108/Analiz-i-opisanie-biznes-processov
https://miro.com/app/board/o9J_kpOMVFA=/
https://sense23.com/post/kak-sozdavat-poleznye-dlya-biznesa-dashbordy-algoritm-printsipy-verstki-instrumenty-arhitektura
</t>
        </r>
      </text>
    </comment>
    <comment ref="D9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https://youtrack.korusconsulting.ru/articles/DAR-A-1705219/03.01.00-Podgotovka-i-provedenie-intervyu
https://youtrack.korusconsulting.ru/articles/DAR-A-1705149/03.02.-Tehnicheskoe-zadanie
https://youtrack.korusconsulting.ru/articles/POJ-A-108/Analiz-i-opisanie-biznes-processov
https://miro.com/app/board/o9J_kpOMVFA=/
https://sense23.com/post/kak-sozdavat-poleznye-dlya-biznesa-dashbordy-algoritm-printsipy-verstki-instrumenty-arhitektura
</t>
        </r>
      </text>
    </comment>
    <comment ref="D15" authorId="0" shapeId="0" xr:uid="{9563BF61-33D3-472C-9872-BD7A19CE072E}">
      <text>
        <r>
          <rPr>
            <sz val="10"/>
            <color rgb="FF000000"/>
            <rFont val="Arial"/>
            <scheme val="minor"/>
          </rPr>
          <t xml:space="preserve">https://youtrack.korusconsulting.ru/articles/DAR-A-1705370/03.02.02-Funkcionalnye-trebovaniya
</t>
        </r>
      </text>
    </comment>
    <comment ref="D21" authorId="0" shapeId="0" xr:uid="{77171FAF-3A15-4F8C-9719-878E4A08A5BD}">
      <text>
        <r>
          <rPr>
            <sz val="10"/>
            <color rgb="FF000000"/>
            <rFont val="Arial"/>
            <scheme val="minor"/>
          </rPr>
          <t xml:space="preserve">https://youtrack.korusconsulting.ru/articles/DAR-A-1705137/03.02.03-Nefunkcionalnye-trebovaniya
</t>
        </r>
      </text>
    </comment>
    <comment ref="D27" authorId="0" shapeId="0" xr:uid="{E48C9632-7F46-418B-8345-829DD133A87A}">
      <text>
        <r>
          <rPr>
            <sz val="10"/>
            <color rgb="FF000000"/>
            <rFont val="Arial"/>
            <scheme val="minor"/>
          </rPr>
          <t xml:space="preserve">https://youtrack.korusconsulting.ru/articles/DAR-A-6816668/03.01.01-Analiz-i-opisanie-biznes-processov
</t>
        </r>
      </text>
    </comment>
    <comment ref="D33" authorId="0" shapeId="0" xr:uid="{3468F4BF-625F-4652-AA77-89CD9C5E76F8}">
      <text>
        <r>
          <rPr>
            <sz val="10"/>
            <color rgb="FF000000"/>
            <rFont val="Arial"/>
            <scheme val="minor"/>
          </rPr>
          <t>Скоро здесь будут ссылки на развивающие материалы по теме</t>
        </r>
      </text>
    </comment>
    <comment ref="D67" authorId="0" shapeId="0" xr:uid="{06C9163A-F125-46FB-AD00-52E65C831816}">
      <text>
        <r>
          <rPr>
            <sz val="10"/>
            <color rgb="FF000000"/>
            <rFont val="Arial"/>
            <scheme val="minor"/>
          </rPr>
          <t>Скоро здесь будут ссылки на развивающие материалы по теме</t>
        </r>
      </text>
    </comment>
    <comment ref="D73" authorId="0" shapeId="0" xr:uid="{6BCD46D0-9A4A-40F5-8002-0EF5E3630E24}">
      <text>
        <r>
          <rPr>
            <sz val="10"/>
            <color rgb="FF000000"/>
            <rFont val="Arial"/>
            <scheme val="minor"/>
          </rPr>
          <t>Скоро здесь будут ссылки на развивающие материалы по теме</t>
        </r>
      </text>
    </comment>
    <comment ref="D75" authorId="0" shapeId="0" xr:uid="{CEAE4459-BD5A-4A0E-99DB-DFCD137554A0}">
      <text>
        <r>
          <rPr>
            <sz val="10"/>
            <color rgb="FF000000"/>
            <rFont val="Arial"/>
            <scheme val="minor"/>
          </rPr>
          <t>https://stepik.org/course/63054/promo?search=2904784458
https://stepik.org/course/101108/syllabus
https://stepik.org/course/61247/promo?search=2904782988</t>
        </r>
      </text>
    </comment>
    <comment ref="D81" authorId="0" shapeId="0" xr:uid="{F1F04918-E881-4807-8229-B5A72FC043FF}">
      <text>
        <r>
          <rPr>
            <sz val="10"/>
            <color rgb="FF000000"/>
            <rFont val="Arial"/>
            <scheme val="minor"/>
          </rPr>
          <t>https://stepik.org/course/76/promo</t>
        </r>
      </text>
    </comment>
    <comment ref="D87" authorId="0" shapeId="0" xr:uid="{6C1C8B2D-AC8F-4835-B3CF-6E55588CFE58}">
      <text>
        <r>
          <rPr>
            <sz val="10"/>
            <color rgb="FF000000"/>
            <rFont val="Arial"/>
            <scheme val="minor"/>
          </rPr>
          <t>https://dataliteracy.ru/dmbok?ysclid=mab58u68h7831794546</t>
        </r>
      </text>
    </comment>
    <comment ref="D93" authorId="0" shapeId="0" xr:uid="{1D443E56-2052-4008-AC8D-8C4843264355}">
      <text>
        <r>
          <rPr>
            <sz val="10"/>
            <color rgb="FF000000"/>
            <rFont val="Arial"/>
            <scheme val="minor"/>
          </rPr>
          <t>Скоро здесь будут ссылки на развивающие материалы по теме</t>
        </r>
      </text>
    </comment>
    <comment ref="D101" authorId="0" shapeId="0" xr:uid="{BBFCB97C-1280-4A0F-B053-3090BE02EB7F}">
      <text>
        <r>
          <rPr>
            <sz val="10"/>
            <color rgb="FF000000"/>
            <rFont val="Arial"/>
            <scheme val="minor"/>
          </rPr>
          <t>https://www.maximilyahov.ru/</t>
        </r>
      </text>
    </comment>
    <comment ref="D107" authorId="0" shapeId="0" xr:uid="{DFCA618B-6EAC-44B9-8803-E6E1BEF8F5B2}">
      <text>
        <r>
          <rPr>
            <sz val="10"/>
            <color rgb="FF000000"/>
            <rFont val="Arial"/>
            <scheme val="minor"/>
          </rPr>
          <t xml:space="preserve">https://youtrack.korusconsulting.ru/articles/DAR-A-1709181/Maketirovanie
</t>
        </r>
      </text>
    </comment>
    <comment ref="D109" authorId="0" shapeId="0" xr:uid="{9DA0B5BB-5D8D-4762-AECD-6EAE1E628D33}">
      <text>
        <r>
          <rPr>
            <sz val="10"/>
            <color rgb="FF000000"/>
            <rFont val="Arial"/>
            <scheme val="minor"/>
          </rPr>
          <t>https://youtrack.korusconsulting.ru/articles/DAR-A-1709181/Maketirovanie
https://youtrack.korusconsulting.ru/articles/DAR-A-6815747/Kak-pridumat-dashbord</t>
        </r>
      </text>
    </comment>
    <comment ref="D115" authorId="0" shapeId="0" xr:uid="{1D9A5BF3-CED5-4B6A-BE46-D93E2403C1DE}">
      <text>
        <r>
          <rPr>
            <sz val="10"/>
            <color rgb="FF000000"/>
            <rFont val="Arial"/>
            <scheme val="minor"/>
          </rPr>
          <t xml:space="preserve">https://www.litres.ru/aleksandr-bogachev/grafiki-kotorye-ubezhdaut-vseh/
https://public.tableau.com/en-us/gallery/visual-vocabulary 
https://www.data-to-viz.com/ 
http://datavizproject.com/ </t>
        </r>
      </text>
    </comment>
    <comment ref="D121" authorId="0" shapeId="0" xr:uid="{443D525E-3186-4D7A-8C5E-27A7AD8E58D4}">
      <text>
        <r>
          <rPr>
            <sz val="10"/>
            <color rgb="FF000000"/>
            <rFont val="Arial"/>
            <scheme val="minor"/>
          </rPr>
          <t xml:space="preserve">https://medium.com/@grifer163/ux-ui-паттерны-что-это-такое-f9c3dead9fd6
https://lawsofux.com
https://www.mann-ivanov-ferber.ru/books/dizajn-privyichnyix-veshhej/
https://www.ozon.ru/product/ne-zastavlyayte-menya-dumat-veb-yuzabiliti-i-zdravyy-smysl-3-e-izdanie-don-t-make-me-think-139556451/
</t>
        </r>
      </text>
    </comment>
    <comment ref="D127" authorId="0" shapeId="0" xr:uid="{24FC4754-102B-4001-90E2-8CE76AB4210C}">
      <text>
        <r>
          <rPr>
            <sz val="10"/>
            <color rgb="FF000000"/>
            <rFont val="Arial"/>
            <scheme val="minor"/>
          </rPr>
          <t>Скоро здесь будут ссылки на развивающие материалы по теме</t>
        </r>
      </text>
    </comment>
    <comment ref="D135" authorId="0" shapeId="0" xr:uid="{B8B166BA-61FD-4E8F-AA0D-378A0A57EBB8}">
      <text>
        <r>
          <rPr>
            <sz val="10"/>
            <color rgb="FF000000"/>
            <rFont val="Arial"/>
            <scheme val="minor"/>
          </rPr>
          <t>Скоро здесь будут ссылки на развивающие материалы по теме</t>
        </r>
      </text>
    </comment>
    <comment ref="D149" authorId="0" shapeId="0" xr:uid="{D2CB5889-3413-4949-B8BA-1EFE84EAF211}">
      <text>
        <r>
          <rPr>
            <sz val="10"/>
            <color rgb="FF000000"/>
            <rFont val="Arial"/>
            <scheme val="minor"/>
          </rPr>
          <t>Скоро здесь будут ссылки на развивающие материалы по теме</t>
        </r>
      </text>
    </comment>
    <comment ref="D157" authorId="0" shapeId="0" xr:uid="{34CC0CD5-07E0-4AA2-BF16-26EE3344D82E}">
      <text>
        <r>
          <rPr>
            <sz val="10"/>
            <color rgb="FF000000"/>
            <rFont val="Arial"/>
            <scheme val="minor"/>
          </rPr>
          <t>https://youtrack.korusconsulting.ru/articles/DAR-A-6815985/07.-Upravlenie-riskami-proekta</t>
        </r>
      </text>
    </comment>
    <comment ref="D163" authorId="0" shapeId="0" xr:uid="{2E971691-010E-417E-8EC8-4CE0A07941E6}">
      <text>
        <r>
          <rPr>
            <sz val="10"/>
            <color rgb="FF000000"/>
            <rFont val="Arial"/>
            <scheme val="minor"/>
          </rPr>
          <t xml:space="preserve">https://youtrack.korusconsulting.ru/articles/DAR-A-6815977/06.-Upravlenie-analitikoj
</t>
        </r>
      </text>
    </comment>
    <comment ref="D187" authorId="0" shapeId="0" xr:uid="{8EC08591-294C-423F-AC92-63E0F1C9023F}">
      <text>
        <r>
          <rPr>
            <sz val="10"/>
            <color rgb="FF000000"/>
            <rFont val="Arial"/>
            <scheme val="minor"/>
          </rPr>
          <t>Скоро здесь будут ссылки на развивающие материалы по теме</t>
        </r>
      </text>
    </comment>
    <comment ref="D201" authorId="0" shapeId="0" xr:uid="{2720A7FE-C5DC-4328-AD43-45CB727EE804}">
      <text>
        <r>
          <rPr>
            <sz val="10"/>
            <color rgb="FF000000"/>
            <rFont val="Arial"/>
            <scheme val="minor"/>
          </rPr>
          <t>Скоро здесь будут ссылки на развивающие материалы по теме</t>
        </r>
      </text>
    </comment>
  </commentList>
</comments>
</file>

<file path=xl/sharedStrings.xml><?xml version="1.0" encoding="utf-8"?>
<sst xmlns="http://schemas.openxmlformats.org/spreadsheetml/2006/main" count="220" uniqueCount="180">
  <si>
    <t>Чеклист по хардскиллам аналитика к ЕОС</t>
  </si>
  <si>
    <r>
      <rPr>
        <sz val="10"/>
        <color theme="1"/>
        <rFont val="Arial"/>
      </rPr>
      <t xml:space="preserve">Сделай копию документа на гугл-диск и раскрой список навыков слева, через плюсик (если он закрыт). 
Оцени свой уровень по каждому навыку по шкале от 2 до 5, выбрав </t>
    </r>
    <r>
      <rPr>
        <b/>
        <i/>
        <sz val="10"/>
        <color theme="1"/>
        <rFont val="Arial"/>
      </rPr>
      <t>ОДИН</t>
    </r>
    <r>
      <rPr>
        <sz val="10"/>
        <color theme="1"/>
        <rFont val="Arial"/>
      </rPr>
      <t xml:space="preserve"> чек-бокс, где:
5 – могу научить других, 
4 – делаю уверенно сам/знаю тонкости процесса, 
3 – знаю что это и могу использовать/знаю как быстро загуглить и реализовать/делаю с подсказками, 
2 – почти не умею/знаю только в теории
Не выбрано – вообще не знаю, даже в теории (в этом случае ничего выбирать не нужно)
В каждом блоке приведены примеры решаемых задач для каждого уровня владения навыком, соответствующие каждой оценке. Примеры приведены для ориентира, чтобы было проще понять, что заложено в каждой оценке.
Полезная информация по пунктам есть в ссылках за буквой ⓘ.</t>
    </r>
  </si>
  <si>
    <t xml:space="preserve">После заполнения всех блоков выбери чек-бокс с желаемым уровнем в верхней части и он подсветит навыки для прокачки. Составь план развития и дерзай! </t>
  </si>
  <si>
    <t>Я</t>
  </si>
  <si>
    <t>Junior</t>
  </si>
  <si>
    <t>Middle</t>
  </si>
  <si>
    <t>Senior</t>
  </si>
  <si>
    <t>Lead</t>
  </si>
  <si>
    <t>Сбор и анализ требований</t>
  </si>
  <si>
    <t>Проектирование и разработка</t>
  </si>
  <si>
    <t>Тестирование</t>
  </si>
  <si>
    <t>Выявление и сбор требований</t>
  </si>
  <si>
    <t>ⓘ</t>
  </si>
  <si>
    <t>Анализ данных</t>
  </si>
  <si>
    <t>Могу грамотно записать требования, которые мне озвучили, и подготовить резюме по встрече с заказчиком</t>
  </si>
  <si>
    <t>здесь можно писать комментарии к оценке, указать точки развития, которые лягут в основу ИПР</t>
  </si>
  <si>
    <t>Работа с документами</t>
  </si>
  <si>
    <t>Могу провести интервью с 1-2 заказчиками по заранее подготовленному списку вопросов</t>
  </si>
  <si>
    <t>Макетирование и основы UI/UX</t>
  </si>
  <si>
    <t>Могу задавать уточняющие вопросы, чтобы выявить скрытые потребности</t>
  </si>
  <si>
    <t>Участие в Presale</t>
  </si>
  <si>
    <t>Могу провести глубинное интервью с группой заказчиков и сформулировать требования, даже если сам заказчик их не осознаёт</t>
  </si>
  <si>
    <t>Управление ожиданиями и изменениями</t>
  </si>
  <si>
    <t>Управление проектом</t>
  </si>
  <si>
    <t>Анализ и формулирование требований (ФТ)</t>
  </si>
  <si>
    <t>HR и развитие сотрудников</t>
  </si>
  <si>
    <t>Могу сформулировать ФТ к локальной функции по шаблону</t>
  </si>
  <si>
    <t>Презентации и обучение</t>
  </si>
  <si>
    <t>Могу самостоятельно сформулировать ФТ в рамках локальной функции. Сформулированные ФТ соответствуют основным критериям качества требований в более 70% случаев</t>
  </si>
  <si>
    <t>Могу самостоятельно сформулировать ФТ к системе, соответсвующие критериям качества требований. Могу сформулировать критерии приемки на основании ФТ</t>
  </si>
  <si>
    <t>Могу оценить и обосновать необходимость и достаточность ФТ в зависимости от проекта, могу выявить отсутствие критичных ФТ</t>
  </si>
  <si>
    <t>Анализ и формулирование требований (НФТ)</t>
  </si>
  <si>
    <t>Могу отличить ФТ от НФТ</t>
  </si>
  <si>
    <t>Могу сформулировать НФТ совместно с архитектором</t>
  </si>
  <si>
    <t xml:space="preserve">Могу сформулировать и определить методику проверки НФТ </t>
  </si>
  <si>
    <t>Могу оценить и обосновать необходимость и достаточность НФТ в зависимости от проекта, могу выявить отсутствие критичных НФТ</t>
  </si>
  <si>
    <t xml:space="preserve">Моделирование процессов </t>
  </si>
  <si>
    <t>Могу нарисовать простой процесс AS-IS в виде блок-схемы по образцу</t>
  </si>
  <si>
    <t>Могу использовать нотации при отрисовке бизнес-процесса (BPMN/UML)</t>
  </si>
  <si>
    <t>Могу выявить узкие места в процессе и предложить улучшения, определить процесс TO-BE</t>
  </si>
  <si>
    <t>Могу с нуля смоделировать сложный процесс с альтернативными сценариями</t>
  </si>
  <si>
    <t>Бизнес-глоссарий/логическая модель данных</t>
  </si>
  <si>
    <t>Могу создать бизнес-глоссарий по шаблону</t>
  </si>
  <si>
    <t>Могу создать с нуля бизнес глоссарий, включающий всю необходимую информацию о показателях и измерениях</t>
  </si>
  <si>
    <t>Могу проанализировать бизнес-глоссарий и выявить недостающие показатели</t>
  </si>
  <si>
    <t>Могу предложить заказчику перечень показателей, который будет покрывать бизнес-потребность</t>
  </si>
  <si>
    <t>Модель данных</t>
  </si>
  <si>
    <t>Могу выявить основные сущности в системе и понять, как их связать</t>
  </si>
  <si>
    <t>Могу составить ER-диаграмму, нормализовать/денормализовать данные</t>
  </si>
  <si>
    <t>Могу унифицировать справочники из нескольких систем-источников и урегулировать конфликты мастер-данных</t>
  </si>
  <si>
    <t>Могу составить физическую модель данных с привязкой к конкретной СУБД</t>
  </si>
  <si>
    <t>Требования к интеграции</t>
  </si>
  <si>
    <t>Могу заполнить требования к интеграции по шаблону или примеру</t>
  </si>
  <si>
    <t>Могу описать требования к интеграции, предварительно обсудив концепцию и выбранных механизм интеграции с архитектором</t>
  </si>
  <si>
    <t>Могу самостоятельно описать требования к интеграции</t>
  </si>
  <si>
    <t>Могу проектировать API (Swagger/OpenAPI) и документировать его</t>
  </si>
  <si>
    <t>S2T</t>
  </si>
  <si>
    <t>Могу составить S2T с простыми преобразованиями по шаблону</t>
  </si>
  <si>
    <t>Могу составить S2T с простыми преобразованиями нуля. В случае сложных преобразований буду консультироваться с системным аналитиком/разработчиком</t>
  </si>
  <si>
    <t>Могу составить S2T с нуля для всех уровней (Stage, DDS, Mart), предварительно обсудив концепцию преоразований с архитектором</t>
  </si>
  <si>
    <t>Могу самостоятельно составить S2T для всех уровней с преобразованиями любой сложности</t>
  </si>
  <si>
    <t>Постановка на разработку</t>
  </si>
  <si>
    <t>Могу оформить задачу в Jira с минимальными критериями приёмки</t>
  </si>
  <si>
    <t>Могу написать четкие критерии приёмки, привязанные к бизнес-целям</t>
  </si>
  <si>
    <t>Могу провести встречу с разработчиками для передачи постановки, объяснив контекст и возможные «подводные камни»</t>
  </si>
  <si>
    <t>Могу сформулировать задачу так, чтобы минимизировать количество уточняющих вопросов</t>
  </si>
  <si>
    <t>Могу провести тестирование системы (визуальная часть, ролевая модель, расчеты) по постановке без учета альтернативных сценариев. Если найду ошибку, то передам ее разработчикам</t>
  </si>
  <si>
    <t>Могу написать тест-кейсы на основании пользовательских сценариев и подготовить контрольный пример. Если найду ошибку, то смогу идентифицировать, в какой части системы она произошла</t>
  </si>
  <si>
    <t xml:space="preserve">Понимаю, как написать комплексное ПМИ для  покрытия всех требований к Системе. </t>
  </si>
  <si>
    <t>Могу написать методику нагрузочного тестирования и сопроводить процесс нагрузочного тестирования</t>
  </si>
  <si>
    <t xml:space="preserve">SQL </t>
  </si>
  <si>
    <t>Могу написать простой SELECT с WHERE</t>
  </si>
  <si>
    <t>Могу сделать выборку данных из БД и соединить их с другими таблицами через JOIN и UNION</t>
  </si>
  <si>
    <t>Диалекты SQL, T-SQL, PL/SQL, понимание как работать с транзакциями. CRUD (Create, Remove, Update, Delete).</t>
  </si>
  <si>
    <t>Оконные функции, CTE, знание особенностей разных БД, MPP СУБД</t>
  </si>
  <si>
    <t>Основы статистики</t>
  </si>
  <si>
    <t>Умею считать среднее</t>
  </si>
  <si>
    <t>Знаю, чем медиана отличается от среднего</t>
  </si>
  <si>
    <t>Понимаю всю описательную статистику, знаю как посчитать выбросы</t>
  </si>
  <si>
    <t>Могу провести полноценный анализ данных с помощью Python или R</t>
  </si>
  <si>
    <t>Качество данных</t>
  </si>
  <si>
    <t>Могу назвать базовые критерии качества (полнота, уникальность, консистентность) и заметить явные аномалии в данных (пустые значения, выбросы)</t>
  </si>
  <si>
    <t>Могу применить стандартные метрики DQ (например, % пропусков, % дубликатов)</t>
  </si>
  <si>
    <t>Могу выявлять скрытые проблемы (несогласованные справочники, некорректные агрегации). Могу разработать правила проверки качества данных при загрузке и описать реакцию системы на ошибки</t>
  </si>
  <si>
    <t>Могу прогнозировать потенциальные риски из-за плохого качества данных</t>
  </si>
  <si>
    <t>Документирование</t>
  </si>
  <si>
    <t>Могу заполнить документ по шаблону</t>
  </si>
  <si>
    <t>Могу адаптировать структуру документа под проект</t>
  </si>
  <si>
    <t>Могу написать необходимый проектный/эксплуатационный документ с нуля</t>
  </si>
  <si>
    <t>Могу создать свой шаблон документа, который станет стандартом в команде</t>
  </si>
  <si>
    <t>Редактура и текст</t>
  </si>
  <si>
    <t>Могу найти и исправить очевидные ошибки (орфографические и пунктуационные, явные стилистические недочеты)</t>
  </si>
  <si>
    <t>Могу улучшить читаемость текста (перефразировать сложные предложения, убрать канцеляризмы и лишние слова, улучшить логическую связность текста)</t>
  </si>
  <si>
    <t>Могу профессионально доработать текст и адаптировать стиль текста под целевую аудиторию (технический, деловой, презентационный)</t>
  </si>
  <si>
    <t>Могу разработать стандарты редактирования для команды (чек-листы, шаблоны, глоссарии).
Могу объяснить, почему правка улучшает текст, и научить других основам редактуры.</t>
  </si>
  <si>
    <t>Макетирование</t>
  </si>
  <si>
    <t>Могу создать простой скетч-макет</t>
  </si>
  <si>
    <t>Могу создать набросок в Figma</t>
  </si>
  <si>
    <t>Могу создать макет интерфейса c оптимальным использованием всех возможностей Figma</t>
  </si>
  <si>
    <t xml:space="preserve">Могу создать кликабельный прототип </t>
  </si>
  <si>
    <t>Подбор типа графика под задачу</t>
  </si>
  <si>
    <t>Беру графики, которые нравятся заказчику</t>
  </si>
  <si>
    <t>Знаю, что разные графики подходят под разные задачи</t>
  </si>
  <si>
    <t>Умею обоснованно выбрать график под задачу</t>
  </si>
  <si>
    <t>Знаю тонкости оформления каждого вида простых графиков</t>
  </si>
  <si>
    <t>UX-паттерны</t>
  </si>
  <si>
    <t>Понимаю, что они есть и знаю, где посмотреть их список</t>
  </si>
  <si>
    <t>Знаю основные паттерны, знаю особенности UX своей BI-системы</t>
  </si>
  <si>
    <t>Знаю лучшие практики использования дашбордов, понимаю как настроить элементы управления для пользователя, знаю основные законы</t>
  </si>
  <si>
    <t>Думаю о дашборде в контексте JTBD, продумываю сценарии и контекст использования</t>
  </si>
  <si>
    <t>Не участвую в Presale</t>
  </si>
  <si>
    <t xml:space="preserve">Могу поучаствовать в Presale по задаче, в которой есть опыт </t>
  </si>
  <si>
    <t>Участвую в Presale как эксперт от аналитики, могу сформировать концепцию предлагаемого решения, оценить полный перечень работ аналитики по проекту</t>
  </si>
  <si>
    <t>Могу разработать технико-коммерческое предложение и участвовать в его защите</t>
  </si>
  <si>
    <t>Управление ожиданиями и информирование о трудностях</t>
  </si>
  <si>
    <t>Делаю, как получается. Когда есть проблема, говорю он ней, только если спросили</t>
  </si>
  <si>
    <t>Если уже по факту не успел, то говорю об этом</t>
  </si>
  <si>
    <t>Если вижу риски, предупреждаю о них заранее</t>
  </si>
  <si>
    <t>Знаю, как составить нужные ожидания у заказчика, понимаю их и в случае отклонений знаю, как о них заранее сообщить</t>
  </si>
  <si>
    <t>Управление изменениями</t>
  </si>
  <si>
    <t>Могу задокументировать изменения требований</t>
  </si>
  <si>
    <t>Могу классифицировать изменение требований как Ошибка/Доработка</t>
  </si>
  <si>
    <t>Могу определить влияние изменения требований на связанные требования/выявить конфликты</t>
  </si>
  <si>
    <t>Могу оценить критичность требований, оценить их трудозатратность, составить бэклог и аргументированно донести информацию до заказчика</t>
  </si>
  <si>
    <t>Проектные методологии</t>
  </si>
  <si>
    <t>Знаю разницу между Agile и Waterfall</t>
  </si>
  <si>
    <t>Могу участвовать в выборе методологии, аргументируя плюсы/минусы для типовых проектов</t>
  </si>
  <si>
    <t>Могу объяснить, какой подход лучше для конкретного проекта и почему</t>
  </si>
  <si>
    <t>Могу адаптировать процесс под специфику команды и проекта</t>
  </si>
  <si>
    <t>Анализ рисков</t>
  </si>
  <si>
    <t>Знаю, что такое риски в проекте, но не могу их системно выявлять</t>
  </si>
  <si>
    <t>Могу назвать типовые риски (сроки, бюджет, качество) по шаблону. Могу сформулировать ограничения, вытекающие их этих рисков</t>
  </si>
  <si>
    <t>Могу провести мозговой штурм рисков с командой и ранжировать их по вероятности/влиянию</t>
  </si>
  <si>
    <t>Могу построить risk-матрицу и интегрировать управление рисками в процессы команды</t>
  </si>
  <si>
    <t xml:space="preserve">Управление проектом </t>
  </si>
  <si>
    <t>Работаю руками</t>
  </si>
  <si>
    <t>Составляю план работ по своей зоне ответственности, за контролем сроков и качеством следит руководитель</t>
  </si>
  <si>
    <t>Составляю план работ по своей зоне ответственности, за контролем сроков и качеством слежу сам</t>
  </si>
  <si>
    <t>Составляю план работ для других, организовываю работу команды и процессы</t>
  </si>
  <si>
    <t>Оценка трудозатрат</t>
  </si>
  <si>
    <t>Могу оценить задачу по аналогии, если уже делал похожую</t>
  </si>
  <si>
    <t>Оцениваю свои задачи по драйверной модели, могу понять и запросить, чего не хватает в оценке</t>
  </si>
  <si>
    <t>Могу оценить работы проекта по драйверной модели, сформировать ограничения и допущения</t>
  </si>
  <si>
    <t>Могу разработать драйверную модель оценки, оценить нетиповую задачу и разработать ограничения и допущения к оценке</t>
  </si>
  <si>
    <t>Опыт реализации проектов</t>
  </si>
  <si>
    <t>1–3 проекта с поддержкой старшего аналитика. Самостоятельно решал(а) типовые задачи, но с проверкой</t>
  </si>
  <si>
    <t>2–4 самостоятельных проекта или блока задач в крупном проекте, реаутивная помощь старшего аналитика/РГ</t>
  </si>
  <si>
    <t>5–10 самостоятельных проектов в роли аналитика и 3–5 — как старший аналитик. Консультирую коллег, иногда требуется реактивная поддержка РГ/РЦК</t>
  </si>
  <si>
    <t>10+ проектов как старший аналитик (полный цикл: от ТЗ до внедрения). Помогаю РЦК, обучаю других, улучшаю методы работы</t>
  </si>
  <si>
    <t>Работа в режиме многозадачности</t>
  </si>
  <si>
    <t>Могу вести 2–3 простые задачи одновременно, но скорость снижается. Иногда не укладываюсь в сроки</t>
  </si>
  <si>
    <t>Успешно управляю 3–5 задачами средней сложности. Сам расставляю приоритеты, но иногда уточняю у руководителя</t>
  </si>
  <si>
    <t>Легко работаю с 5+ задачами разной сложности, включая срочные. Редко ошибаюсь, автоматически выделяю главное</t>
  </si>
  <si>
    <t xml:space="preserve">Я эффективно работаю в условиях хаоса (10+ задач/проектов, но не на постоянной основке), помогаю команде оптимизировать процессы </t>
  </si>
  <si>
    <t>Развитие сотрудников</t>
  </si>
  <si>
    <t>Нет такой необходимости</t>
  </si>
  <si>
    <t>Нет такой необходимости, но могу составить план развития для себя</t>
  </si>
  <si>
    <t>Могу определить слабые стороны сотрудника и дать ему задачи для развития этой области</t>
  </si>
  <si>
    <t>Могу определить слабые и сильные стороны сотрудника, его интересы и дать задачи и план развития в этой области</t>
  </si>
  <si>
    <t>Найм и оценка уровня кандидатов/сотрудников</t>
  </si>
  <si>
    <t>Не провожу найм</t>
  </si>
  <si>
    <t>Не провожу найм, но могу составить список задач для кандидата</t>
  </si>
  <si>
    <t>Могу провести интервью по одному из навыков</t>
  </si>
  <si>
    <t>Есть отточенная система оценка качества кандидатов, понимаю как оценить человека</t>
  </si>
  <si>
    <t>Презентация результатов работы</t>
  </si>
  <si>
    <t>Могу рассказать о своей работе и сделать презентацию</t>
  </si>
  <si>
    <t>Могу рассказать о своей работе и сделать хорошую презентацию</t>
  </si>
  <si>
    <t>Имею опыт публичных выступлений, могу четко и понятно донести свои мысли, знаю какие каналы коммуникации лучше использовать для донесения разных результатов работы</t>
  </si>
  <si>
    <t>Умею проводить интересные и захватывающие презентации в виде историй</t>
  </si>
  <si>
    <t>Обучение пользователей</t>
  </si>
  <si>
    <t>Не провожу обучение</t>
  </si>
  <si>
    <t>Могу провести обучение по созданной методологии</t>
  </si>
  <si>
    <t>Могу организовать процесс обучения в группах пользователей в онлайн/офлайн/смешанных группах в соответсвии с ролевой моделью системы</t>
  </si>
  <si>
    <t>Могу выбрать и обосновать подход к обучению пользователей, организовать процесс обучения чтобы заинтересовать пользователей. Прослежу, что материалы обучения усвоены</t>
  </si>
  <si>
    <t>Демо заказчику</t>
  </si>
  <si>
    <t>Не провожу демо, но могу помочь с подготовкой материалов/могу провести демо готовому сценарию, но не уверен, что отвечу на вопросы</t>
  </si>
  <si>
    <t xml:space="preserve">Могу провести функциональное демо той части проекта, в разработке которой я участвовал, и ответить на вопросы. </t>
  </si>
  <si>
    <t xml:space="preserve">Могу провести ценностное демо той части проекта, в разработке которой я участвовал, и ответить на вопросы. </t>
  </si>
  <si>
    <t>Могу подготовить и провести ценностное демо комплексного проекта или продукта. Управляю ходом проведения демо, проверяю понимание аудиторией материала</t>
  </si>
  <si>
    <r>
      <rPr>
        <b/>
        <i/>
        <sz val="10"/>
        <color theme="1"/>
        <rFont val="Arial"/>
      </rPr>
      <t xml:space="preserve">!После заполнения проверь!
</t>
    </r>
    <r>
      <rPr>
        <sz val="10"/>
        <color theme="1"/>
        <rFont val="Arial"/>
      </rPr>
      <t xml:space="preserve">
­1. Все разделы заполнены, если есть пустые значения – это сделано осознанно
­2. В каждом разделе стоит ОДНА галочка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</si>
</sst>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8"/>
      <color theme="1"/>
      <name val="Arial"/>
      <scheme val="minor"/>
    </font>
    <font>
      <b/>
      <sz val="12"/>
      <color theme="1"/>
      <name val="Arial"/>
      <scheme val="minor"/>
    </font>
    <font>
      <i/>
      <sz val="10"/>
      <color theme="1"/>
      <name val="Arial"/>
      <scheme val="minor"/>
    </font>
    <font>
      <i/>
      <sz val="8"/>
      <color rgb="FFB7B7B7"/>
      <name val="Arial"/>
      <scheme val="minor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top" wrapText="1"/>
    </xf>
    <xf numFmtId="164" fontId="2" fillId="0" borderId="0" xfId="0" applyNumberFormat="1" applyFont="1"/>
    <xf numFmtId="0" fontId="2" fillId="0" borderId="0" xfId="0" applyFont="1"/>
    <xf numFmtId="0" fontId="7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9" fillId="0" borderId="0" xfId="0" applyFont="1" applyAlignment="1">
      <alignment horizontal="left" vertical="center"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+mn-lt"/>
              </a:defRPr>
            </a:pPr>
            <a:r>
              <a:rPr lang="ru-RU" sz="1600" b="1">
                <a:solidFill>
                  <a:srgbClr val="000000"/>
                </a:solidFill>
                <a:latin typeface="+mn-lt"/>
              </a:rPr>
              <a:t>Результаты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Чеклист!$O$5</c:f>
              <c:strCache>
                <c:ptCount val="1"/>
                <c:pt idx="0">
                  <c:v>Я</c:v>
                </c:pt>
              </c:strCache>
            </c:strRef>
          </c:tx>
          <c:spPr>
            <a:solidFill>
              <a:srgbClr val="B7B7B7"/>
            </a:solidFill>
            <a:ln cmpd="sng">
              <a:solidFill>
                <a:srgbClr val="CCCCCC">
                  <a:alpha val="100000"/>
                </a:srgbClr>
              </a:solidFill>
            </a:ln>
          </c:spPr>
          <c:invertIfNegative val="1"/>
          <c:cat>
            <c:strRef>
              <c:f>Чеклист!$N$6:$N$16</c:f>
              <c:strCache>
                <c:ptCount val="11"/>
                <c:pt idx="0">
                  <c:v>Сбор и анализ требований</c:v>
                </c:pt>
                <c:pt idx="1">
                  <c:v>Проектирование и разработка</c:v>
                </c:pt>
                <c:pt idx="2">
                  <c:v>Тестирование</c:v>
                </c:pt>
                <c:pt idx="3">
                  <c:v>Анализ данных</c:v>
                </c:pt>
                <c:pt idx="4">
                  <c:v>Работа с документами</c:v>
                </c:pt>
                <c:pt idx="5">
                  <c:v>Макетирование и основы UI/UX</c:v>
                </c:pt>
                <c:pt idx="6">
                  <c:v>Участие в Presale</c:v>
                </c:pt>
                <c:pt idx="7">
                  <c:v>Управление ожиданиями и изменениями</c:v>
                </c:pt>
                <c:pt idx="8">
                  <c:v>Управление проектом</c:v>
                </c:pt>
                <c:pt idx="9">
                  <c:v>HR и развитие сотрудников</c:v>
                </c:pt>
                <c:pt idx="10">
                  <c:v>Презентации и обучение</c:v>
                </c:pt>
              </c:strCache>
            </c:strRef>
          </c:cat>
          <c:val>
            <c:numRef>
              <c:f>Чеклист!$O$6:$O$16</c:f>
              <c:numCache>
                <c:formatCode>0.0</c:formatCode>
                <c:ptCount val="11"/>
                <c:pt idx="0">
                  <c:v>4.25</c:v>
                </c:pt>
                <c:pt idx="1">
                  <c:v>3.2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4.5</c:v>
                </c:pt>
                <c:pt idx="9">
                  <c:v>2</c:v>
                </c:pt>
                <c:pt idx="10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CCCCCC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02-4DEF-8023-47AFC861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265373"/>
        <c:axId val="198156742"/>
      </c:barChart>
      <c:lineChart>
        <c:grouping val="standard"/>
        <c:varyColors val="1"/>
        <c:ser>
          <c:idx val="1"/>
          <c:order val="1"/>
          <c:tx>
            <c:strRef>
              <c:f>Чеклист!$P$5</c:f>
              <c:strCache>
                <c:ptCount val="1"/>
                <c:pt idx="0">
                  <c:v>Junior</c:v>
                </c:pt>
              </c:strCache>
            </c:strRef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Чеклист!$N$6:$N$16</c:f>
              <c:strCache>
                <c:ptCount val="11"/>
                <c:pt idx="0">
                  <c:v>Сбор и анализ требований</c:v>
                </c:pt>
                <c:pt idx="1">
                  <c:v>Проектирование и разработка</c:v>
                </c:pt>
                <c:pt idx="2">
                  <c:v>Тестирование</c:v>
                </c:pt>
                <c:pt idx="3">
                  <c:v>Анализ данных</c:v>
                </c:pt>
                <c:pt idx="4">
                  <c:v>Работа с документами</c:v>
                </c:pt>
                <c:pt idx="5">
                  <c:v>Макетирование и основы UI/UX</c:v>
                </c:pt>
                <c:pt idx="6">
                  <c:v>Участие в Presale</c:v>
                </c:pt>
                <c:pt idx="7">
                  <c:v>Управление ожиданиями и изменениями</c:v>
                </c:pt>
                <c:pt idx="8">
                  <c:v>Управление проектом</c:v>
                </c:pt>
                <c:pt idx="9">
                  <c:v>HR и развитие сотрудников</c:v>
                </c:pt>
                <c:pt idx="10">
                  <c:v>Презентации и обучение</c:v>
                </c:pt>
              </c:strCache>
            </c:strRef>
          </c:cat>
          <c:val>
            <c:numRef>
              <c:f>Чеклист!$P$6:$P$16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02-4DEF-8023-47AFC86111C9}"/>
            </c:ext>
          </c:extLst>
        </c:ser>
        <c:ser>
          <c:idx val="2"/>
          <c:order val="2"/>
          <c:tx>
            <c:strRef>
              <c:f>Чеклист!$Q$5</c:f>
              <c:strCache>
                <c:ptCount val="1"/>
                <c:pt idx="0">
                  <c:v>Middle</c:v>
                </c:pt>
              </c:strCache>
            </c:strRef>
          </c:tx>
          <c:spPr>
            <a:ln cmpd="sng">
              <a:solidFill>
                <a:srgbClr val="A4C2F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Чеклист!$N$6:$N$16</c:f>
              <c:strCache>
                <c:ptCount val="11"/>
                <c:pt idx="0">
                  <c:v>Сбор и анализ требований</c:v>
                </c:pt>
                <c:pt idx="1">
                  <c:v>Проектирование и разработка</c:v>
                </c:pt>
                <c:pt idx="2">
                  <c:v>Тестирование</c:v>
                </c:pt>
                <c:pt idx="3">
                  <c:v>Анализ данных</c:v>
                </c:pt>
                <c:pt idx="4">
                  <c:v>Работа с документами</c:v>
                </c:pt>
                <c:pt idx="5">
                  <c:v>Макетирование и основы UI/UX</c:v>
                </c:pt>
                <c:pt idx="6">
                  <c:v>Участие в Presale</c:v>
                </c:pt>
                <c:pt idx="7">
                  <c:v>Управление ожиданиями и изменениями</c:v>
                </c:pt>
                <c:pt idx="8">
                  <c:v>Управление проектом</c:v>
                </c:pt>
                <c:pt idx="9">
                  <c:v>HR и развитие сотрудников</c:v>
                </c:pt>
                <c:pt idx="10">
                  <c:v>Презентации и обучение</c:v>
                </c:pt>
              </c:strCache>
            </c:strRef>
          </c:cat>
          <c:val>
            <c:numRef>
              <c:f>Чеклист!$Q$6:$Q$16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02-4DEF-8023-47AFC86111C9}"/>
            </c:ext>
          </c:extLst>
        </c:ser>
        <c:ser>
          <c:idx val="3"/>
          <c:order val="3"/>
          <c:tx>
            <c:strRef>
              <c:f>Чеклист!$R$5</c:f>
              <c:strCache>
                <c:ptCount val="1"/>
                <c:pt idx="0">
                  <c:v>Senior</c:v>
                </c:pt>
              </c:strCache>
            </c:strRef>
          </c:tx>
          <c:spPr>
            <a:ln cmpd="sng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Чеклист!$N$6:$N$16</c:f>
              <c:strCache>
                <c:ptCount val="11"/>
                <c:pt idx="0">
                  <c:v>Сбор и анализ требований</c:v>
                </c:pt>
                <c:pt idx="1">
                  <c:v>Проектирование и разработка</c:v>
                </c:pt>
                <c:pt idx="2">
                  <c:v>Тестирование</c:v>
                </c:pt>
                <c:pt idx="3">
                  <c:v>Анализ данных</c:v>
                </c:pt>
                <c:pt idx="4">
                  <c:v>Работа с документами</c:v>
                </c:pt>
                <c:pt idx="5">
                  <c:v>Макетирование и основы UI/UX</c:v>
                </c:pt>
                <c:pt idx="6">
                  <c:v>Участие в Presale</c:v>
                </c:pt>
                <c:pt idx="7">
                  <c:v>Управление ожиданиями и изменениями</c:v>
                </c:pt>
                <c:pt idx="8">
                  <c:v>Управление проектом</c:v>
                </c:pt>
                <c:pt idx="9">
                  <c:v>HR и развитие сотрудников</c:v>
                </c:pt>
                <c:pt idx="10">
                  <c:v>Презентации и обучение</c:v>
                </c:pt>
              </c:strCache>
            </c:strRef>
          </c:cat>
          <c:val>
            <c:numRef>
              <c:f>Чеклист!$R$6:$R$16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02-4DEF-8023-47AFC86111C9}"/>
            </c:ext>
          </c:extLst>
        </c:ser>
        <c:ser>
          <c:idx val="4"/>
          <c:order val="4"/>
          <c:tx>
            <c:strRef>
              <c:f>Чеклист!$S$5</c:f>
              <c:strCache>
                <c:ptCount val="1"/>
                <c:pt idx="0">
                  <c:v>Lead</c:v>
                </c:pt>
              </c:strCache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Чеклист!$N$6:$N$16</c:f>
              <c:strCache>
                <c:ptCount val="11"/>
                <c:pt idx="0">
                  <c:v>Сбор и анализ требований</c:v>
                </c:pt>
                <c:pt idx="1">
                  <c:v>Проектирование и разработка</c:v>
                </c:pt>
                <c:pt idx="2">
                  <c:v>Тестирование</c:v>
                </c:pt>
                <c:pt idx="3">
                  <c:v>Анализ данных</c:v>
                </c:pt>
                <c:pt idx="4">
                  <c:v>Работа с документами</c:v>
                </c:pt>
                <c:pt idx="5">
                  <c:v>Макетирование и основы UI/UX</c:v>
                </c:pt>
                <c:pt idx="6">
                  <c:v>Участие в Presale</c:v>
                </c:pt>
                <c:pt idx="7">
                  <c:v>Управление ожиданиями и изменениями</c:v>
                </c:pt>
                <c:pt idx="8">
                  <c:v>Управление проектом</c:v>
                </c:pt>
                <c:pt idx="9">
                  <c:v>HR и развитие сотрудников</c:v>
                </c:pt>
                <c:pt idx="10">
                  <c:v>Презентации и обучение</c:v>
                </c:pt>
              </c:strCache>
            </c:strRef>
          </c:cat>
          <c:val>
            <c:numRef>
              <c:f>Чеклист!$S$6:$S$16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02-4DEF-8023-47AFC861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265373"/>
        <c:axId val="198156742"/>
      </c:lineChart>
      <c:catAx>
        <c:axId val="1125265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8156742"/>
        <c:crosses val="autoZero"/>
        <c:auto val="1"/>
        <c:lblAlgn val="ctr"/>
        <c:lblOffset val="100"/>
        <c:noMultiLvlLbl val="1"/>
      </c:catAx>
      <c:valAx>
        <c:axId val="19815674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25265373"/>
        <c:crosses val="autoZero"/>
        <c:crossBetween val="between"/>
      </c:valAx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19050</xdr:colOff>
      <xdr:row>3</xdr:row>
      <xdr:rowOff>485775</xdr:rowOff>
    </xdr:from>
    <xdr:ext cx="5715000" cy="353377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159"/>
  <sheetViews>
    <sheetView tabSelected="1" zoomScale="73" zoomScaleNormal="73" workbookViewId="0">
      <selection activeCell="P2" sqref="P2"/>
    </sheetView>
  </sheetViews>
  <sheetFormatPr defaultColWidth="12.5703125" defaultRowHeight="15.75" customHeight="1" outlineLevelRow="1" x14ac:dyDescent="0.2"/>
  <cols>
    <col min="1" max="1" width="4.28515625" customWidth="1"/>
    <col min="2" max="2" width="3.5703125" customWidth="1"/>
    <col min="3" max="3" width="58.7109375" customWidth="1"/>
    <col min="4" max="4" width="12.42578125" customWidth="1"/>
    <col min="5" max="5" width="4.7109375" customWidth="1"/>
    <col min="6" max="6" width="4.42578125" customWidth="1"/>
    <col min="7" max="7" width="11.28515625" customWidth="1"/>
    <col min="8" max="8" width="12.5703125" customWidth="1"/>
    <col min="9" max="9" width="7.140625" customWidth="1"/>
    <col min="10" max="10" width="7.85546875" customWidth="1"/>
    <col min="11" max="11" width="5.5703125" customWidth="1"/>
    <col min="12" max="12" width="6" customWidth="1"/>
    <col min="13" max="13" width="1" customWidth="1"/>
    <col min="14" max="14" width="28.28515625" customWidth="1"/>
    <col min="15" max="15" width="7.85546875" customWidth="1"/>
    <col min="16" max="16" width="7.140625" customWidth="1"/>
    <col min="17" max="17" width="7.7109375" customWidth="1"/>
    <col min="18" max="18" width="9" customWidth="1"/>
    <col min="19" max="19" width="7.85546875" customWidth="1"/>
  </cols>
  <sheetData>
    <row r="1" spans="1:20" ht="46.5" x14ac:dyDescent="0.2">
      <c r="C1" s="1" t="s">
        <v>0</v>
      </c>
      <c r="D1" s="2"/>
      <c r="F1" s="3"/>
      <c r="G1" s="3"/>
      <c r="H1" s="3"/>
      <c r="I1" s="3"/>
      <c r="J1" s="3"/>
    </row>
    <row r="2" spans="1:20" ht="75" customHeight="1" x14ac:dyDescent="0.2">
      <c r="C2" s="48" t="s">
        <v>1</v>
      </c>
      <c r="D2" s="5"/>
      <c r="E2" s="5"/>
      <c r="F2" s="49" t="s">
        <v>2</v>
      </c>
      <c r="G2" s="46"/>
      <c r="H2" s="46"/>
      <c r="I2" s="46"/>
      <c r="J2" s="46"/>
    </row>
    <row r="3" spans="1:20" ht="64.5" customHeight="1" x14ac:dyDescent="0.2">
      <c r="C3" s="46"/>
      <c r="D3" s="5"/>
      <c r="F3" s="46"/>
      <c r="G3" s="46"/>
      <c r="H3" s="46"/>
      <c r="I3" s="46"/>
      <c r="J3" s="46"/>
    </row>
    <row r="4" spans="1:20" ht="39.75" customHeight="1" x14ac:dyDescent="0.2">
      <c r="C4" s="46"/>
      <c r="D4" s="5"/>
      <c r="F4" s="3"/>
      <c r="G4" s="9" t="b">
        <v>1</v>
      </c>
      <c r="H4" s="6" t="b">
        <v>0</v>
      </c>
      <c r="I4" s="6" t="b">
        <v>0</v>
      </c>
      <c r="J4" s="6" t="b">
        <v>0</v>
      </c>
    </row>
    <row r="5" spans="1:20" ht="57" customHeight="1" x14ac:dyDescent="0.2">
      <c r="A5" s="7"/>
      <c r="B5" s="7"/>
      <c r="C5" s="46"/>
      <c r="D5" s="5"/>
      <c r="F5" s="8" t="s">
        <v>3</v>
      </c>
      <c r="G5" s="9" t="s">
        <v>4</v>
      </c>
      <c r="H5" s="9" t="s">
        <v>5</v>
      </c>
      <c r="I5" s="9" t="s">
        <v>6</v>
      </c>
      <c r="J5" s="9" t="s">
        <v>7</v>
      </c>
      <c r="O5" s="8" t="s">
        <v>3</v>
      </c>
      <c r="P5" s="9" t="s">
        <v>4</v>
      </c>
      <c r="Q5" s="9" t="s">
        <v>5</v>
      </c>
      <c r="R5" s="9" t="s">
        <v>6</v>
      </c>
      <c r="S5" s="9" t="s">
        <v>7</v>
      </c>
    </row>
    <row r="6" spans="1:20" ht="12.75" x14ac:dyDescent="0.2">
      <c r="A6" s="7"/>
      <c r="B6" s="7"/>
      <c r="C6" s="7"/>
      <c r="F6" s="3"/>
      <c r="G6" s="3"/>
      <c r="H6" s="3"/>
      <c r="I6" s="3"/>
      <c r="J6" s="3"/>
      <c r="N6" s="10" t="s">
        <v>8</v>
      </c>
      <c r="O6" s="11">
        <f t="shared" ref="O6:S6" si="0">F7</f>
        <v>4.25</v>
      </c>
      <c r="P6" s="12">
        <f t="shared" si="0"/>
        <v>2</v>
      </c>
      <c r="Q6" s="12">
        <f t="shared" si="0"/>
        <v>3</v>
      </c>
      <c r="R6" s="12">
        <f t="shared" si="0"/>
        <v>4</v>
      </c>
      <c r="S6" s="12">
        <f t="shared" si="0"/>
        <v>5</v>
      </c>
    </row>
    <row r="7" spans="1:20" x14ac:dyDescent="0.2">
      <c r="A7" s="7"/>
      <c r="B7" s="7"/>
      <c r="C7" s="13" t="s">
        <v>8</v>
      </c>
      <c r="D7" s="14"/>
      <c r="F7" s="15">
        <f>AVERAGE(F9:F31)</f>
        <v>4.25</v>
      </c>
      <c r="G7" s="16">
        <v>2</v>
      </c>
      <c r="H7" s="17">
        <v>3</v>
      </c>
      <c r="I7" s="18">
        <v>4</v>
      </c>
      <c r="J7" s="19">
        <v>5</v>
      </c>
      <c r="M7" s="20">
        <f>IF($G$4,G7,IF($H$4,H7,IF($I$4,I7,IF($J$4,J7,0))))</f>
        <v>2</v>
      </c>
      <c r="N7" s="10" t="s">
        <v>9</v>
      </c>
      <c r="O7" s="11">
        <f t="shared" ref="O7:S7" si="1">F33</f>
        <v>3.2</v>
      </c>
      <c r="P7" s="12">
        <f t="shared" si="1"/>
        <v>2</v>
      </c>
      <c r="Q7" s="12">
        <f t="shared" si="1"/>
        <v>3</v>
      </c>
      <c r="R7" s="12">
        <f t="shared" si="1"/>
        <v>4</v>
      </c>
      <c r="S7" s="12">
        <f t="shared" si="1"/>
        <v>5</v>
      </c>
    </row>
    <row r="8" spans="1:20" ht="12.75" outlineLevel="1" x14ac:dyDescent="0.2">
      <c r="A8" s="7"/>
      <c r="B8" s="7"/>
      <c r="C8" s="7"/>
      <c r="F8" s="3"/>
      <c r="G8" s="3"/>
      <c r="H8" s="3"/>
      <c r="I8" s="3"/>
      <c r="J8" s="3"/>
      <c r="N8" s="10" t="s">
        <v>10</v>
      </c>
      <c r="O8" s="11">
        <f t="shared" ref="O8:S8" si="2">F65</f>
        <v>5</v>
      </c>
      <c r="P8" s="12">
        <f t="shared" si="2"/>
        <v>2</v>
      </c>
      <c r="Q8" s="12">
        <f t="shared" si="2"/>
        <v>3</v>
      </c>
      <c r="R8" s="12">
        <f t="shared" si="2"/>
        <v>4</v>
      </c>
      <c r="S8" s="12">
        <f t="shared" si="2"/>
        <v>5</v>
      </c>
    </row>
    <row r="9" spans="1:20" ht="12.75" outlineLevel="1" x14ac:dyDescent="0.2">
      <c r="A9" s="7"/>
      <c r="B9" s="7"/>
      <c r="C9" s="7" t="s">
        <v>11</v>
      </c>
      <c r="D9" s="14" t="s">
        <v>12</v>
      </c>
      <c r="F9" s="21">
        <f>SUM(E10:E13)</f>
        <v>5</v>
      </c>
      <c r="G9" s="16">
        <v>2</v>
      </c>
      <c r="H9" s="17">
        <v>3</v>
      </c>
      <c r="I9" s="18">
        <v>4</v>
      </c>
      <c r="J9" s="19">
        <v>5</v>
      </c>
      <c r="N9" s="10" t="s">
        <v>13</v>
      </c>
      <c r="O9" s="11">
        <f t="shared" ref="O9:T9" si="3">F73</f>
        <v>4</v>
      </c>
      <c r="P9" s="12">
        <f t="shared" si="3"/>
        <v>2</v>
      </c>
      <c r="Q9" s="12">
        <f t="shared" si="3"/>
        <v>3</v>
      </c>
      <c r="R9" s="12">
        <f t="shared" si="3"/>
        <v>4</v>
      </c>
      <c r="S9" s="12">
        <f t="shared" si="3"/>
        <v>5</v>
      </c>
      <c r="T9" s="12">
        <f t="shared" si="3"/>
        <v>0</v>
      </c>
    </row>
    <row r="10" spans="1:20" ht="25.5" outlineLevel="1" x14ac:dyDescent="0.2">
      <c r="A10" s="22"/>
      <c r="B10" s="23">
        <v>2</v>
      </c>
      <c r="C10" s="22" t="s">
        <v>14</v>
      </c>
      <c r="D10" s="42" t="b">
        <v>1</v>
      </c>
      <c r="E10" s="21">
        <f t="shared" ref="E10:E12" si="4">IF(D10,B10,0)</f>
        <v>2</v>
      </c>
      <c r="F10" s="47" t="s">
        <v>15</v>
      </c>
      <c r="G10" s="46"/>
      <c r="H10" s="46"/>
      <c r="I10" s="46"/>
      <c r="J10" s="46"/>
      <c r="N10" s="10" t="s">
        <v>16</v>
      </c>
      <c r="O10" s="11">
        <f t="shared" ref="O10:S10" si="5">F93</f>
        <v>5</v>
      </c>
      <c r="P10" s="12">
        <f t="shared" si="5"/>
        <v>2</v>
      </c>
      <c r="Q10" s="12">
        <f t="shared" si="5"/>
        <v>3</v>
      </c>
      <c r="R10" s="12">
        <f t="shared" si="5"/>
        <v>4</v>
      </c>
      <c r="S10" s="12">
        <f t="shared" si="5"/>
        <v>5</v>
      </c>
    </row>
    <row r="11" spans="1:20" ht="25.5" outlineLevel="1" x14ac:dyDescent="0.2">
      <c r="A11" s="22"/>
      <c r="B11" s="23">
        <v>3</v>
      </c>
      <c r="C11" s="22" t="s">
        <v>17</v>
      </c>
      <c r="D11" s="42" t="b">
        <v>1</v>
      </c>
      <c r="E11" s="21">
        <f t="shared" si="4"/>
        <v>3</v>
      </c>
      <c r="F11" s="45"/>
      <c r="G11" s="46"/>
      <c r="H11" s="46"/>
      <c r="I11" s="46"/>
      <c r="J11" s="46"/>
      <c r="N11" s="10" t="s">
        <v>18</v>
      </c>
      <c r="O11" s="11">
        <f t="shared" ref="O11:S11" si="6">F107</f>
        <v>4</v>
      </c>
      <c r="P11" s="12">
        <f t="shared" si="6"/>
        <v>2</v>
      </c>
      <c r="Q11" s="12">
        <f t="shared" si="6"/>
        <v>3</v>
      </c>
      <c r="R11" s="12">
        <f t="shared" si="6"/>
        <v>4</v>
      </c>
      <c r="S11" s="12">
        <f t="shared" si="6"/>
        <v>5</v>
      </c>
    </row>
    <row r="12" spans="1:20" ht="25.5" outlineLevel="1" x14ac:dyDescent="0.2">
      <c r="A12" s="22"/>
      <c r="B12" s="23">
        <v>4</v>
      </c>
      <c r="C12" s="22" t="s">
        <v>19</v>
      </c>
      <c r="D12" s="12" t="b">
        <v>0</v>
      </c>
      <c r="E12" s="21">
        <f t="shared" si="4"/>
        <v>0</v>
      </c>
      <c r="F12" s="45"/>
      <c r="G12" s="46"/>
      <c r="H12" s="46"/>
      <c r="I12" s="46"/>
      <c r="J12" s="46"/>
      <c r="N12" s="10" t="s">
        <v>20</v>
      </c>
      <c r="O12" s="11">
        <f t="shared" ref="O12:S12" si="7">F127</f>
        <v>2</v>
      </c>
      <c r="P12" s="12">
        <f t="shared" si="7"/>
        <v>2</v>
      </c>
      <c r="Q12" s="12">
        <f t="shared" si="7"/>
        <v>3</v>
      </c>
      <c r="R12" s="12">
        <f t="shared" si="7"/>
        <v>4</v>
      </c>
      <c r="S12" s="12">
        <f t="shared" si="7"/>
        <v>5</v>
      </c>
    </row>
    <row r="13" spans="1:20" ht="38.25" outlineLevel="1" x14ac:dyDescent="0.2">
      <c r="A13" s="22"/>
      <c r="B13" s="23">
        <v>5</v>
      </c>
      <c r="C13" s="22" t="s">
        <v>21</v>
      </c>
      <c r="D13" s="12" t="b">
        <v>0</v>
      </c>
      <c r="E13" s="21">
        <f>IF(D13,B13,0)</f>
        <v>0</v>
      </c>
      <c r="F13" s="45"/>
      <c r="G13" s="46"/>
      <c r="H13" s="46"/>
      <c r="I13" s="46"/>
      <c r="J13" s="46"/>
      <c r="N13" s="10" t="s">
        <v>22</v>
      </c>
      <c r="O13" s="11">
        <f t="shared" ref="O13:S13" si="8">F135</f>
        <v>5</v>
      </c>
      <c r="P13" s="12">
        <f t="shared" si="8"/>
        <v>2</v>
      </c>
      <c r="Q13" s="12">
        <f t="shared" si="8"/>
        <v>3</v>
      </c>
      <c r="R13" s="12">
        <f t="shared" si="8"/>
        <v>4</v>
      </c>
      <c r="S13" s="12">
        <f t="shared" si="8"/>
        <v>5</v>
      </c>
    </row>
    <row r="14" spans="1:20" ht="12.75" outlineLevel="1" x14ac:dyDescent="0.2">
      <c r="A14" s="24"/>
      <c r="B14" s="24"/>
      <c r="C14" s="24"/>
      <c r="D14" s="43"/>
      <c r="F14" s="3"/>
      <c r="G14" s="3"/>
      <c r="H14" s="3"/>
      <c r="I14" s="3"/>
      <c r="J14" s="3"/>
      <c r="N14" s="10" t="s">
        <v>23</v>
      </c>
      <c r="O14" s="11">
        <f t="shared" ref="O14:S14" si="9">F149</f>
        <v>4.5</v>
      </c>
      <c r="P14" s="12">
        <f t="shared" si="9"/>
        <v>2</v>
      </c>
      <c r="Q14" s="12">
        <f t="shared" si="9"/>
        <v>3</v>
      </c>
      <c r="R14" s="12">
        <f t="shared" si="9"/>
        <v>4</v>
      </c>
      <c r="S14" s="12">
        <f t="shared" si="9"/>
        <v>5</v>
      </c>
    </row>
    <row r="15" spans="1:20" ht="12.75" outlineLevel="1" x14ac:dyDescent="0.2">
      <c r="A15" s="24"/>
      <c r="B15" s="24"/>
      <c r="C15" s="25" t="s">
        <v>24</v>
      </c>
      <c r="D15" s="14" t="s">
        <v>12</v>
      </c>
      <c r="F15" s="21">
        <f>SUM(E16:E19)</f>
        <v>5</v>
      </c>
      <c r="G15" s="16">
        <v>2</v>
      </c>
      <c r="H15" s="17">
        <v>3</v>
      </c>
      <c r="I15" s="18">
        <v>4</v>
      </c>
      <c r="J15" s="19">
        <v>5</v>
      </c>
      <c r="N15" s="10" t="s">
        <v>25</v>
      </c>
      <c r="O15" s="11">
        <f t="shared" ref="O15:S15" si="10">F187</f>
        <v>2</v>
      </c>
      <c r="P15" s="12">
        <f t="shared" si="10"/>
        <v>2</v>
      </c>
      <c r="Q15" s="12">
        <f t="shared" si="10"/>
        <v>3</v>
      </c>
      <c r="R15" s="12">
        <f t="shared" si="10"/>
        <v>4</v>
      </c>
      <c r="S15" s="12">
        <f t="shared" si="10"/>
        <v>5</v>
      </c>
    </row>
    <row r="16" spans="1:20" ht="12.75" outlineLevel="1" x14ac:dyDescent="0.2">
      <c r="A16" s="22"/>
      <c r="B16" s="22">
        <v>2</v>
      </c>
      <c r="C16" s="22" t="s">
        <v>26</v>
      </c>
      <c r="D16" s="42" t="b">
        <v>1</v>
      </c>
      <c r="E16" s="21">
        <f t="shared" ref="E16:E19" si="11">IF(D16,B16,0)</f>
        <v>2</v>
      </c>
      <c r="F16" s="47"/>
      <c r="G16" s="46"/>
      <c r="H16" s="46"/>
      <c r="I16" s="46"/>
      <c r="J16" s="46"/>
      <c r="N16" s="10" t="s">
        <v>27</v>
      </c>
      <c r="O16" s="11">
        <f t="shared" ref="O16:S16" si="12">F201</f>
        <v>4</v>
      </c>
      <c r="P16" s="12">
        <f t="shared" si="12"/>
        <v>2</v>
      </c>
      <c r="Q16" s="12">
        <f t="shared" si="12"/>
        <v>3</v>
      </c>
      <c r="R16" s="12">
        <f t="shared" si="12"/>
        <v>4</v>
      </c>
      <c r="S16" s="12">
        <f t="shared" si="12"/>
        <v>5</v>
      </c>
    </row>
    <row r="17" spans="1:14" ht="38.25" outlineLevel="1" x14ac:dyDescent="0.2">
      <c r="A17" s="22"/>
      <c r="B17" s="22">
        <v>3</v>
      </c>
      <c r="C17" s="22" t="s">
        <v>28</v>
      </c>
      <c r="D17" s="12" t="b">
        <v>1</v>
      </c>
      <c r="E17" s="21">
        <f t="shared" si="11"/>
        <v>3</v>
      </c>
      <c r="F17" s="45"/>
      <c r="G17" s="46"/>
      <c r="H17" s="46"/>
      <c r="I17" s="46"/>
      <c r="J17" s="46"/>
      <c r="N17" s="10"/>
    </row>
    <row r="18" spans="1:14" ht="38.25" outlineLevel="1" x14ac:dyDescent="0.2">
      <c r="A18" s="22"/>
      <c r="B18" s="22">
        <v>4</v>
      </c>
      <c r="C18" s="22" t="s">
        <v>29</v>
      </c>
      <c r="D18" s="12" t="b">
        <v>0</v>
      </c>
      <c r="E18" s="21">
        <f t="shared" si="11"/>
        <v>0</v>
      </c>
      <c r="F18" s="45"/>
      <c r="G18" s="46"/>
      <c r="H18" s="46"/>
      <c r="I18" s="46"/>
      <c r="J18" s="46"/>
      <c r="N18" s="10"/>
    </row>
    <row r="19" spans="1:14" ht="38.25" outlineLevel="1" x14ac:dyDescent="0.2">
      <c r="A19" s="22"/>
      <c r="B19" s="22">
        <v>5</v>
      </c>
      <c r="C19" s="22" t="s">
        <v>30</v>
      </c>
      <c r="D19" s="12" t="b">
        <v>0</v>
      </c>
      <c r="E19" s="21">
        <f t="shared" si="11"/>
        <v>0</v>
      </c>
      <c r="F19" s="45"/>
      <c r="G19" s="46"/>
      <c r="H19" s="46"/>
      <c r="I19" s="46"/>
      <c r="J19" s="46"/>
      <c r="N19" s="10"/>
    </row>
    <row r="20" spans="1:14" ht="12.75" outlineLevel="1" x14ac:dyDescent="0.2">
      <c r="A20" s="24"/>
      <c r="B20" s="24"/>
      <c r="C20" s="25"/>
      <c r="D20" s="43"/>
      <c r="F20" s="3"/>
      <c r="G20" s="3"/>
      <c r="H20" s="3"/>
      <c r="I20" s="3"/>
      <c r="J20" s="3"/>
      <c r="N20" s="10"/>
    </row>
    <row r="21" spans="1:14" ht="12.75" outlineLevel="1" x14ac:dyDescent="0.2">
      <c r="A21" s="24"/>
      <c r="B21" s="24"/>
      <c r="C21" s="25" t="s">
        <v>31</v>
      </c>
      <c r="D21" s="14" t="s">
        <v>12</v>
      </c>
      <c r="F21" s="21">
        <f>SUM(E22:E25)</f>
        <v>2</v>
      </c>
      <c r="G21" s="16">
        <v>2</v>
      </c>
      <c r="H21" s="17">
        <v>3</v>
      </c>
      <c r="I21" s="18">
        <v>4</v>
      </c>
      <c r="J21" s="19">
        <v>5</v>
      </c>
      <c r="N21" s="10"/>
    </row>
    <row r="22" spans="1:14" ht="12.75" outlineLevel="1" x14ac:dyDescent="0.2">
      <c r="A22" s="22"/>
      <c r="B22" s="22">
        <v>2</v>
      </c>
      <c r="C22" s="2" t="s">
        <v>32</v>
      </c>
      <c r="D22" s="42" t="b">
        <v>1</v>
      </c>
      <c r="E22" s="21">
        <f t="shared" ref="E22:E25" si="13">IF(D22,B22,0)</f>
        <v>2</v>
      </c>
      <c r="F22" s="47"/>
      <c r="G22" s="46"/>
      <c r="H22" s="46"/>
      <c r="I22" s="46"/>
      <c r="J22" s="46"/>
      <c r="N22" s="10"/>
    </row>
    <row r="23" spans="1:14" ht="12.75" outlineLevel="1" x14ac:dyDescent="0.2">
      <c r="A23" s="22"/>
      <c r="B23" s="22">
        <v>3</v>
      </c>
      <c r="C23" s="2" t="s">
        <v>33</v>
      </c>
      <c r="D23" s="12" t="b">
        <v>0</v>
      </c>
      <c r="E23" s="21">
        <f t="shared" si="13"/>
        <v>0</v>
      </c>
      <c r="F23" s="45"/>
      <c r="G23" s="46"/>
      <c r="H23" s="46"/>
      <c r="I23" s="46"/>
      <c r="J23" s="46"/>
      <c r="N23" s="10"/>
    </row>
    <row r="24" spans="1:14" ht="12.75" outlineLevel="1" x14ac:dyDescent="0.2">
      <c r="A24" s="22"/>
      <c r="B24" s="22">
        <v>4</v>
      </c>
      <c r="C24" s="2" t="s">
        <v>34</v>
      </c>
      <c r="D24" s="12" t="b">
        <v>0</v>
      </c>
      <c r="E24" s="21">
        <f t="shared" si="13"/>
        <v>0</v>
      </c>
      <c r="F24" s="45"/>
      <c r="G24" s="46"/>
      <c r="H24" s="46"/>
      <c r="I24" s="46"/>
      <c r="J24" s="46"/>
      <c r="N24" s="10"/>
    </row>
    <row r="25" spans="1:14" ht="38.25" outlineLevel="1" x14ac:dyDescent="0.2">
      <c r="A25" s="22"/>
      <c r="B25" s="22">
        <v>5</v>
      </c>
      <c r="C25" s="22" t="s">
        <v>35</v>
      </c>
      <c r="D25" s="12" t="b">
        <v>0</v>
      </c>
      <c r="E25" s="21">
        <f t="shared" si="13"/>
        <v>0</v>
      </c>
      <c r="F25" s="45"/>
      <c r="G25" s="46"/>
      <c r="H25" s="46"/>
      <c r="I25" s="46"/>
      <c r="J25" s="46"/>
      <c r="N25" s="10"/>
    </row>
    <row r="26" spans="1:14" ht="12.75" outlineLevel="1" x14ac:dyDescent="0.2">
      <c r="A26" s="24"/>
      <c r="B26" s="24"/>
      <c r="C26" s="25"/>
      <c r="D26" s="43"/>
      <c r="F26" s="3"/>
      <c r="G26" s="3"/>
      <c r="H26" s="3"/>
      <c r="I26" s="3"/>
      <c r="J26" s="3"/>
      <c r="N26" s="10"/>
    </row>
    <row r="27" spans="1:14" ht="12.75" outlineLevel="1" x14ac:dyDescent="0.2">
      <c r="A27" s="24"/>
      <c r="B27" s="24"/>
      <c r="C27" s="25" t="s">
        <v>36</v>
      </c>
      <c r="D27" s="14" t="s">
        <v>12</v>
      </c>
      <c r="F27" s="21">
        <f>SUM(E28:E31)</f>
        <v>5</v>
      </c>
      <c r="G27" s="16">
        <v>2</v>
      </c>
      <c r="H27" s="17">
        <v>3</v>
      </c>
      <c r="I27" s="18">
        <v>4</v>
      </c>
      <c r="J27" s="19">
        <v>5</v>
      </c>
      <c r="N27" s="10"/>
    </row>
    <row r="28" spans="1:14" ht="25.5" outlineLevel="1" x14ac:dyDescent="0.2">
      <c r="A28" s="2"/>
      <c r="B28" s="2">
        <v>2</v>
      </c>
      <c r="C28" s="22" t="s">
        <v>37</v>
      </c>
      <c r="D28" s="42" t="b">
        <v>1</v>
      </c>
      <c r="E28" s="21">
        <f t="shared" ref="E28:E31" si="14">IF(D28,B28,0)</f>
        <v>2</v>
      </c>
      <c r="F28" s="47"/>
      <c r="G28" s="46"/>
      <c r="H28" s="46"/>
      <c r="I28" s="46"/>
      <c r="J28" s="46"/>
      <c r="N28" s="10"/>
    </row>
    <row r="29" spans="1:14" ht="25.5" outlineLevel="1" x14ac:dyDescent="0.2">
      <c r="A29" s="2"/>
      <c r="B29" s="2">
        <v>3</v>
      </c>
      <c r="C29" s="22" t="s">
        <v>38</v>
      </c>
      <c r="D29" s="12" t="b">
        <v>1</v>
      </c>
      <c r="E29" s="21">
        <f t="shared" si="14"/>
        <v>3</v>
      </c>
      <c r="F29" s="45"/>
      <c r="G29" s="46"/>
      <c r="H29" s="46"/>
      <c r="I29" s="46"/>
      <c r="J29" s="46"/>
      <c r="N29" s="10"/>
    </row>
    <row r="30" spans="1:14" ht="25.5" outlineLevel="1" x14ac:dyDescent="0.2">
      <c r="A30" s="2"/>
      <c r="B30" s="2">
        <v>4</v>
      </c>
      <c r="C30" s="22" t="s">
        <v>39</v>
      </c>
      <c r="D30" s="12" t="b">
        <v>0</v>
      </c>
      <c r="E30" s="21">
        <f t="shared" si="14"/>
        <v>0</v>
      </c>
      <c r="F30" s="45"/>
      <c r="G30" s="46"/>
      <c r="H30" s="46"/>
      <c r="I30" s="46"/>
      <c r="J30" s="46"/>
      <c r="N30" s="10"/>
    </row>
    <row r="31" spans="1:14" ht="25.5" outlineLevel="1" x14ac:dyDescent="0.2">
      <c r="A31" s="2"/>
      <c r="B31" s="2">
        <v>5</v>
      </c>
      <c r="C31" s="22" t="s">
        <v>40</v>
      </c>
      <c r="D31" s="12" t="b">
        <v>0</v>
      </c>
      <c r="E31" s="21">
        <f t="shared" si="14"/>
        <v>0</v>
      </c>
      <c r="F31" s="45"/>
      <c r="G31" s="46"/>
      <c r="H31" s="46"/>
      <c r="I31" s="46"/>
      <c r="J31" s="46"/>
      <c r="N31" s="10"/>
    </row>
    <row r="32" spans="1:14" ht="12.75" x14ac:dyDescent="0.2">
      <c r="C32" s="24"/>
      <c r="D32" s="43"/>
      <c r="F32" s="3"/>
      <c r="G32" s="3"/>
      <c r="H32" s="3"/>
      <c r="I32" s="3"/>
      <c r="J32" s="3"/>
      <c r="N32" s="10"/>
    </row>
    <row r="33" spans="1:19" x14ac:dyDescent="0.2">
      <c r="C33" s="13" t="s">
        <v>9</v>
      </c>
      <c r="D33" s="14" t="s">
        <v>12</v>
      </c>
      <c r="F33" s="15">
        <f>AVERAGE(F35:F63)</f>
        <v>3.2</v>
      </c>
      <c r="G33" s="16">
        <v>2</v>
      </c>
      <c r="H33" s="17">
        <v>3</v>
      </c>
      <c r="I33" s="18">
        <v>4</v>
      </c>
      <c r="J33" s="19">
        <v>5</v>
      </c>
      <c r="M33" s="20">
        <f>IF($G$4,G33,IF($H$4,H33,IF($I$4,I33,IF($J$4,J33,0))))</f>
        <v>2</v>
      </c>
      <c r="N33" s="10"/>
    </row>
    <row r="34" spans="1:19" ht="12.75" outlineLevel="1" x14ac:dyDescent="0.2">
      <c r="C34" s="25"/>
      <c r="D34" s="43"/>
      <c r="F34" s="21"/>
      <c r="G34" s="3"/>
      <c r="H34" s="3"/>
      <c r="I34" s="3"/>
      <c r="J34" s="3"/>
      <c r="N34" s="10"/>
    </row>
    <row r="35" spans="1:19" ht="12.75" outlineLevel="1" x14ac:dyDescent="0.2">
      <c r="C35" s="25" t="s">
        <v>41</v>
      </c>
      <c r="D35" s="43"/>
      <c r="F35" s="21">
        <f>SUM(E36:E39)</f>
        <v>5</v>
      </c>
      <c r="G35" s="16">
        <v>2</v>
      </c>
      <c r="H35" s="17">
        <v>3</v>
      </c>
      <c r="I35" s="18">
        <v>4</v>
      </c>
      <c r="J35" s="19">
        <v>5</v>
      </c>
      <c r="N35" s="10"/>
    </row>
    <row r="36" spans="1:19" ht="12.75" outlineLevel="1" x14ac:dyDescent="0.2">
      <c r="A36" s="2"/>
      <c r="B36" s="2">
        <v>2</v>
      </c>
      <c r="C36" s="22" t="s">
        <v>42</v>
      </c>
      <c r="D36" s="42" t="b">
        <v>1</v>
      </c>
      <c r="E36" s="21">
        <f t="shared" ref="E36:E39" si="15">IF(D36,B36,0)</f>
        <v>2</v>
      </c>
      <c r="F36" s="47"/>
      <c r="G36" s="46"/>
      <c r="H36" s="46"/>
      <c r="I36" s="46"/>
      <c r="J36" s="46"/>
      <c r="N36" s="10"/>
    </row>
    <row r="37" spans="1:19" ht="25.5" outlineLevel="1" x14ac:dyDescent="0.2">
      <c r="A37" s="2"/>
      <c r="B37" s="2">
        <v>3</v>
      </c>
      <c r="C37" s="22" t="s">
        <v>43</v>
      </c>
      <c r="D37" s="12" t="b">
        <v>1</v>
      </c>
      <c r="E37" s="21">
        <f t="shared" si="15"/>
        <v>3</v>
      </c>
      <c r="F37" s="45"/>
      <c r="G37" s="46"/>
      <c r="H37" s="46"/>
      <c r="I37" s="46"/>
      <c r="J37" s="46"/>
      <c r="N37" s="10"/>
    </row>
    <row r="38" spans="1:19" ht="25.5" outlineLevel="1" x14ac:dyDescent="0.2">
      <c r="A38" s="2"/>
      <c r="B38" s="2">
        <v>4</v>
      </c>
      <c r="C38" s="22" t="s">
        <v>44</v>
      </c>
      <c r="D38" s="12" t="b">
        <v>0</v>
      </c>
      <c r="E38" s="21">
        <f t="shared" si="15"/>
        <v>0</v>
      </c>
      <c r="F38" s="45"/>
      <c r="G38" s="46"/>
      <c r="H38" s="46"/>
      <c r="I38" s="46"/>
      <c r="J38" s="46"/>
      <c r="N38" s="10"/>
    </row>
    <row r="39" spans="1:19" ht="25.5" outlineLevel="1" x14ac:dyDescent="0.2">
      <c r="A39" s="2"/>
      <c r="B39" s="2">
        <v>5</v>
      </c>
      <c r="C39" s="22" t="s">
        <v>45</v>
      </c>
      <c r="D39" s="12" t="b">
        <v>0</v>
      </c>
      <c r="E39" s="21">
        <f t="shared" si="15"/>
        <v>0</v>
      </c>
      <c r="F39" s="45"/>
      <c r="G39" s="46"/>
      <c r="H39" s="46"/>
      <c r="I39" s="46"/>
      <c r="J39" s="46"/>
      <c r="N39" s="10"/>
    </row>
    <row r="40" spans="1:19" ht="12.75" outlineLevel="1" x14ac:dyDescent="0.2">
      <c r="C40" s="25"/>
      <c r="D40" s="43"/>
      <c r="F40" s="3"/>
      <c r="G40" s="3"/>
      <c r="H40" s="3"/>
      <c r="I40" s="3"/>
      <c r="J40" s="3"/>
      <c r="N40" s="10"/>
    </row>
    <row r="41" spans="1:19" ht="12.75" outlineLevel="1" x14ac:dyDescent="0.2">
      <c r="C41" s="25" t="s">
        <v>46</v>
      </c>
      <c r="D41" s="43"/>
      <c r="F41" s="21">
        <f>SUM(E42:E45)</f>
        <v>2</v>
      </c>
      <c r="G41" s="16">
        <v>2</v>
      </c>
      <c r="H41" s="17">
        <v>3</v>
      </c>
      <c r="I41" s="18">
        <v>4</v>
      </c>
      <c r="J41" s="19">
        <v>5</v>
      </c>
      <c r="N41" s="10"/>
    </row>
    <row r="42" spans="1:19" ht="25.5" outlineLevel="1" x14ac:dyDescent="0.2">
      <c r="A42" s="2"/>
      <c r="B42" s="2">
        <v>2</v>
      </c>
      <c r="C42" s="22" t="s">
        <v>47</v>
      </c>
      <c r="D42" s="42" t="b">
        <v>1</v>
      </c>
      <c r="E42" s="21">
        <f t="shared" ref="E42:E45" si="16">IF(D42,B42,0)</f>
        <v>2</v>
      </c>
      <c r="F42" s="47"/>
      <c r="G42" s="46"/>
      <c r="H42" s="46"/>
      <c r="I42" s="46"/>
      <c r="J42" s="46"/>
      <c r="N42" s="10"/>
    </row>
    <row r="43" spans="1:19" ht="25.5" outlineLevel="1" x14ac:dyDescent="0.2">
      <c r="A43" s="2"/>
      <c r="B43" s="2">
        <v>3</v>
      </c>
      <c r="C43" s="22" t="s">
        <v>48</v>
      </c>
      <c r="D43" s="12" t="b">
        <v>0</v>
      </c>
      <c r="E43" s="21">
        <f t="shared" si="16"/>
        <v>0</v>
      </c>
      <c r="F43" s="45"/>
      <c r="G43" s="46"/>
      <c r="H43" s="46"/>
      <c r="I43" s="46"/>
      <c r="J43" s="46"/>
      <c r="N43" s="10"/>
      <c r="P43" s="26"/>
      <c r="Q43" s="26"/>
      <c r="R43" s="26"/>
      <c r="S43" s="26"/>
    </row>
    <row r="44" spans="1:19" ht="25.5" outlineLevel="1" x14ac:dyDescent="0.2">
      <c r="A44" s="2"/>
      <c r="B44" s="2">
        <v>4</v>
      </c>
      <c r="C44" s="22" t="s">
        <v>49</v>
      </c>
      <c r="D44" s="12" t="b">
        <v>0</v>
      </c>
      <c r="E44" s="21">
        <f t="shared" si="16"/>
        <v>0</v>
      </c>
      <c r="F44" s="45"/>
      <c r="G44" s="46"/>
      <c r="H44" s="46"/>
      <c r="I44" s="46"/>
      <c r="J44" s="46"/>
      <c r="N44" s="10"/>
      <c r="P44" s="26"/>
      <c r="Q44" s="26"/>
      <c r="R44" s="26"/>
      <c r="S44" s="26"/>
    </row>
    <row r="45" spans="1:19" ht="25.5" outlineLevel="1" x14ac:dyDescent="0.2">
      <c r="A45" s="2"/>
      <c r="B45" s="2">
        <v>5</v>
      </c>
      <c r="C45" s="22" t="s">
        <v>50</v>
      </c>
      <c r="D45" s="12" t="b">
        <v>0</v>
      </c>
      <c r="E45" s="21">
        <f t="shared" si="16"/>
        <v>0</v>
      </c>
      <c r="F45" s="45"/>
      <c r="G45" s="46"/>
      <c r="H45" s="46"/>
      <c r="I45" s="46"/>
      <c r="J45" s="46"/>
      <c r="N45" s="10"/>
      <c r="P45" s="26"/>
      <c r="Q45" s="26"/>
      <c r="R45" s="26"/>
      <c r="S45" s="26"/>
    </row>
    <row r="46" spans="1:19" ht="12.75" outlineLevel="1" x14ac:dyDescent="0.2">
      <c r="C46" s="25"/>
      <c r="D46" s="43"/>
      <c r="F46" s="3"/>
      <c r="G46" s="3"/>
      <c r="H46" s="3"/>
      <c r="I46" s="3"/>
      <c r="J46" s="3"/>
      <c r="N46" s="10"/>
      <c r="P46" s="26"/>
      <c r="Q46" s="26"/>
      <c r="R46" s="26"/>
      <c r="S46" s="26"/>
    </row>
    <row r="47" spans="1:19" ht="12.75" outlineLevel="1" x14ac:dyDescent="0.2">
      <c r="C47" s="25" t="s">
        <v>51</v>
      </c>
      <c r="D47" s="43"/>
      <c r="F47" s="21">
        <f>SUM(E48:E51)</f>
        <v>2</v>
      </c>
      <c r="G47" s="16">
        <v>2</v>
      </c>
      <c r="H47" s="17">
        <v>3</v>
      </c>
      <c r="I47" s="18">
        <v>4</v>
      </c>
      <c r="J47" s="19">
        <v>5</v>
      </c>
      <c r="N47" s="10"/>
      <c r="P47" s="26"/>
      <c r="Q47" s="26"/>
      <c r="R47" s="26"/>
      <c r="S47" s="26"/>
    </row>
    <row r="48" spans="1:19" ht="25.5" outlineLevel="1" x14ac:dyDescent="0.2">
      <c r="A48" s="2"/>
      <c r="B48" s="2">
        <v>2</v>
      </c>
      <c r="C48" s="22" t="s">
        <v>52</v>
      </c>
      <c r="D48" s="42" t="b">
        <v>1</v>
      </c>
      <c r="E48" s="21">
        <f t="shared" ref="E48:E51" si="17">IF(D48,B48,0)</f>
        <v>2</v>
      </c>
      <c r="F48" s="47"/>
      <c r="G48" s="46"/>
      <c r="H48" s="46"/>
      <c r="I48" s="46"/>
      <c r="J48" s="46"/>
      <c r="N48" s="10"/>
    </row>
    <row r="49" spans="1:14" ht="38.25" outlineLevel="1" x14ac:dyDescent="0.2">
      <c r="A49" s="2"/>
      <c r="B49" s="2">
        <v>3</v>
      </c>
      <c r="C49" s="22" t="s">
        <v>53</v>
      </c>
      <c r="D49" s="12" t="b">
        <v>0</v>
      </c>
      <c r="E49" s="21">
        <f t="shared" si="17"/>
        <v>0</v>
      </c>
      <c r="F49" s="45"/>
      <c r="G49" s="46"/>
      <c r="H49" s="46"/>
      <c r="I49" s="46"/>
      <c r="J49" s="46"/>
      <c r="N49" s="10"/>
    </row>
    <row r="50" spans="1:14" ht="12.75" outlineLevel="1" x14ac:dyDescent="0.2">
      <c r="A50" s="2"/>
      <c r="B50" s="2">
        <v>4</v>
      </c>
      <c r="C50" s="22" t="s">
        <v>54</v>
      </c>
      <c r="D50" s="12" t="b">
        <v>0</v>
      </c>
      <c r="E50" s="21">
        <f t="shared" si="17"/>
        <v>0</v>
      </c>
      <c r="F50" s="45"/>
      <c r="G50" s="46"/>
      <c r="H50" s="46"/>
      <c r="I50" s="46"/>
      <c r="J50" s="46"/>
      <c r="N50" s="10"/>
    </row>
    <row r="51" spans="1:14" ht="25.5" outlineLevel="1" x14ac:dyDescent="0.2">
      <c r="A51" s="2"/>
      <c r="B51" s="2">
        <v>5</v>
      </c>
      <c r="C51" s="22" t="s">
        <v>55</v>
      </c>
      <c r="D51" s="12" t="b">
        <v>0</v>
      </c>
      <c r="E51" s="21">
        <f t="shared" si="17"/>
        <v>0</v>
      </c>
      <c r="F51" s="45"/>
      <c r="G51" s="46"/>
      <c r="H51" s="46"/>
      <c r="I51" s="46"/>
      <c r="J51" s="46"/>
      <c r="N51" s="10"/>
    </row>
    <row r="52" spans="1:14" ht="12.75" outlineLevel="1" x14ac:dyDescent="0.2">
      <c r="C52" s="25"/>
      <c r="D52" s="43"/>
      <c r="F52" s="3"/>
      <c r="G52" s="3"/>
      <c r="H52" s="3"/>
      <c r="I52" s="3"/>
      <c r="J52" s="3"/>
      <c r="N52" s="10"/>
    </row>
    <row r="53" spans="1:14" ht="12.75" outlineLevel="1" x14ac:dyDescent="0.2">
      <c r="C53" s="25" t="s">
        <v>56</v>
      </c>
      <c r="D53" s="43"/>
      <c r="F53" s="21">
        <f>SUM(E54:E57)</f>
        <v>2</v>
      </c>
      <c r="G53" s="16">
        <v>2</v>
      </c>
      <c r="H53" s="17">
        <v>3</v>
      </c>
      <c r="I53" s="18">
        <v>4</v>
      </c>
      <c r="J53" s="19">
        <v>5</v>
      </c>
      <c r="N53" s="10"/>
    </row>
    <row r="54" spans="1:14" ht="12.75" outlineLevel="1" x14ac:dyDescent="0.2">
      <c r="A54" s="2"/>
      <c r="B54" s="2">
        <v>2</v>
      </c>
      <c r="C54" s="22" t="s">
        <v>57</v>
      </c>
      <c r="D54" s="42" t="b">
        <v>1</v>
      </c>
      <c r="E54" s="21">
        <f t="shared" ref="E54:E57" si="18">IF(D54,B54,0)</f>
        <v>2</v>
      </c>
      <c r="F54" s="47"/>
      <c r="G54" s="46"/>
      <c r="H54" s="46"/>
      <c r="I54" s="46"/>
      <c r="J54" s="46"/>
      <c r="N54" s="10"/>
    </row>
    <row r="55" spans="1:14" ht="38.25" outlineLevel="1" x14ac:dyDescent="0.2">
      <c r="A55" s="2"/>
      <c r="B55" s="2">
        <v>3</v>
      </c>
      <c r="C55" s="22" t="s">
        <v>58</v>
      </c>
      <c r="D55" s="12" t="b">
        <v>0</v>
      </c>
      <c r="E55" s="21">
        <f t="shared" si="18"/>
        <v>0</v>
      </c>
      <c r="F55" s="45"/>
      <c r="G55" s="46"/>
      <c r="H55" s="46"/>
      <c r="I55" s="46"/>
      <c r="J55" s="46"/>
      <c r="N55" s="10"/>
    </row>
    <row r="56" spans="1:14" ht="38.25" outlineLevel="1" x14ac:dyDescent="0.2">
      <c r="A56" s="2"/>
      <c r="B56" s="2">
        <v>4</v>
      </c>
      <c r="C56" s="22" t="s">
        <v>59</v>
      </c>
      <c r="D56" s="12" t="b">
        <v>0</v>
      </c>
      <c r="E56" s="21">
        <f t="shared" si="18"/>
        <v>0</v>
      </c>
      <c r="F56" s="45"/>
      <c r="G56" s="46"/>
      <c r="H56" s="46"/>
      <c r="I56" s="46"/>
      <c r="J56" s="46"/>
      <c r="N56" s="10"/>
    </row>
    <row r="57" spans="1:14" ht="25.5" outlineLevel="1" x14ac:dyDescent="0.2">
      <c r="A57" s="2"/>
      <c r="B57" s="2">
        <v>5</v>
      </c>
      <c r="C57" s="22" t="s">
        <v>60</v>
      </c>
      <c r="D57" s="12" t="b">
        <v>0</v>
      </c>
      <c r="E57" s="21">
        <f t="shared" si="18"/>
        <v>0</v>
      </c>
      <c r="F57" s="45"/>
      <c r="G57" s="46"/>
      <c r="H57" s="46"/>
      <c r="I57" s="46"/>
      <c r="J57" s="46"/>
      <c r="N57" s="10"/>
    </row>
    <row r="58" spans="1:14" ht="12.75" outlineLevel="1" x14ac:dyDescent="0.2">
      <c r="C58" s="25"/>
      <c r="D58" s="43"/>
      <c r="F58" s="3"/>
      <c r="G58" s="3"/>
      <c r="H58" s="3"/>
      <c r="I58" s="3"/>
      <c r="J58" s="3"/>
      <c r="N58" s="10"/>
    </row>
    <row r="59" spans="1:14" ht="12.75" outlineLevel="1" x14ac:dyDescent="0.2">
      <c r="C59" s="25" t="s">
        <v>61</v>
      </c>
      <c r="D59" s="43"/>
      <c r="F59" s="21">
        <f>SUM(E60:E63)</f>
        <v>5</v>
      </c>
      <c r="G59" s="16">
        <v>2</v>
      </c>
      <c r="H59" s="17">
        <v>3</v>
      </c>
      <c r="I59" s="18">
        <v>4</v>
      </c>
      <c r="J59" s="19">
        <v>5</v>
      </c>
      <c r="N59" s="10"/>
    </row>
    <row r="60" spans="1:14" ht="25.5" outlineLevel="1" x14ac:dyDescent="0.2">
      <c r="A60" s="2"/>
      <c r="B60" s="2">
        <v>2</v>
      </c>
      <c r="C60" s="22" t="s">
        <v>62</v>
      </c>
      <c r="D60" s="42" t="b">
        <v>1</v>
      </c>
      <c r="E60" s="21">
        <f t="shared" ref="E60:E63" si="19">IF(D60,B60,0)</f>
        <v>2</v>
      </c>
      <c r="F60" s="47"/>
      <c r="G60" s="46"/>
      <c r="H60" s="46"/>
      <c r="I60" s="46"/>
      <c r="J60" s="46"/>
      <c r="N60" s="10"/>
    </row>
    <row r="61" spans="1:14" ht="25.5" outlineLevel="1" x14ac:dyDescent="0.2">
      <c r="A61" s="2"/>
      <c r="B61" s="2">
        <v>3</v>
      </c>
      <c r="C61" s="22" t="s">
        <v>63</v>
      </c>
      <c r="D61" s="12" t="b">
        <v>1</v>
      </c>
      <c r="E61" s="21">
        <f t="shared" si="19"/>
        <v>3</v>
      </c>
      <c r="F61" s="45"/>
      <c r="G61" s="46"/>
      <c r="H61" s="46"/>
      <c r="I61" s="46"/>
      <c r="J61" s="46"/>
      <c r="N61" s="10"/>
    </row>
    <row r="62" spans="1:14" ht="38.25" outlineLevel="1" x14ac:dyDescent="0.2">
      <c r="A62" s="2"/>
      <c r="B62" s="2">
        <v>4</v>
      </c>
      <c r="C62" s="22" t="s">
        <v>64</v>
      </c>
      <c r="D62" s="12" t="b">
        <v>0</v>
      </c>
      <c r="E62" s="21">
        <f t="shared" si="19"/>
        <v>0</v>
      </c>
      <c r="F62" s="45"/>
      <c r="G62" s="46"/>
      <c r="H62" s="46"/>
      <c r="I62" s="46"/>
      <c r="J62" s="46"/>
      <c r="N62" s="10"/>
    </row>
    <row r="63" spans="1:14" ht="25.5" outlineLevel="1" x14ac:dyDescent="0.2">
      <c r="A63" s="2"/>
      <c r="B63" s="2">
        <v>5</v>
      </c>
      <c r="C63" s="22" t="s">
        <v>65</v>
      </c>
      <c r="D63" s="12" t="b">
        <v>0</v>
      </c>
      <c r="E63" s="21">
        <f t="shared" si="19"/>
        <v>0</v>
      </c>
      <c r="F63" s="45"/>
      <c r="G63" s="46"/>
      <c r="H63" s="46"/>
      <c r="I63" s="46"/>
      <c r="J63" s="46"/>
      <c r="N63" s="10"/>
    </row>
    <row r="64" spans="1:14" ht="12.75" x14ac:dyDescent="0.2">
      <c r="C64" s="25"/>
      <c r="D64" s="43"/>
      <c r="F64" s="3"/>
      <c r="G64" s="3"/>
      <c r="H64" s="3"/>
      <c r="I64" s="3"/>
      <c r="J64" s="3"/>
      <c r="N64" s="10"/>
    </row>
    <row r="65" spans="1:28" x14ac:dyDescent="0.2">
      <c r="C65" s="13" t="s">
        <v>10</v>
      </c>
      <c r="D65" s="43"/>
      <c r="F65" s="15">
        <f>AVERAGE(F67:F71)</f>
        <v>5</v>
      </c>
      <c r="G65" s="16">
        <v>2</v>
      </c>
      <c r="H65" s="17">
        <v>3</v>
      </c>
      <c r="I65" s="18">
        <v>4</v>
      </c>
      <c r="J65" s="19">
        <v>5</v>
      </c>
      <c r="M65" s="20">
        <f>IF($G$4,G65,IF($H$4,H65,IF($I$4,I65,IF($J$4,J65,0))))</f>
        <v>2</v>
      </c>
      <c r="N65" s="10"/>
    </row>
    <row r="66" spans="1:28" ht="12.75" outlineLevel="1" x14ac:dyDescent="0.2">
      <c r="C66" s="25"/>
      <c r="D66" s="41"/>
      <c r="F66" s="21"/>
      <c r="G66" s="3"/>
      <c r="H66" s="3"/>
      <c r="I66" s="3"/>
      <c r="J66" s="3"/>
      <c r="N66" s="10"/>
    </row>
    <row r="67" spans="1:28" ht="12.75" outlineLevel="1" x14ac:dyDescent="0.2">
      <c r="C67" s="25" t="s">
        <v>10</v>
      </c>
      <c r="D67" s="14" t="s">
        <v>12</v>
      </c>
      <c r="F67" s="21">
        <f>SUM(E68:E71)</f>
        <v>5</v>
      </c>
      <c r="G67" s="16">
        <v>2</v>
      </c>
      <c r="H67" s="17">
        <v>3</v>
      </c>
      <c r="I67" s="18">
        <v>4</v>
      </c>
      <c r="J67" s="19">
        <v>5</v>
      </c>
      <c r="N67" s="10"/>
    </row>
    <row r="68" spans="1:28" ht="51" outlineLevel="1" x14ac:dyDescent="0.2">
      <c r="B68" s="2">
        <v>2</v>
      </c>
      <c r="C68" s="22" t="s">
        <v>66</v>
      </c>
      <c r="D68" s="42" t="b">
        <v>1</v>
      </c>
      <c r="E68" s="21">
        <f t="shared" ref="E68:E71" si="20">IF(D68,B68,0)</f>
        <v>2</v>
      </c>
      <c r="F68" s="47"/>
      <c r="G68" s="46"/>
      <c r="H68" s="46"/>
      <c r="I68" s="46"/>
      <c r="J68" s="46"/>
      <c r="N68" s="10"/>
    </row>
    <row r="69" spans="1:28" ht="51" outlineLevel="1" x14ac:dyDescent="0.2">
      <c r="B69" s="2">
        <v>3</v>
      </c>
      <c r="C69" s="22" t="s">
        <v>67</v>
      </c>
      <c r="D69" s="12" t="b">
        <v>1</v>
      </c>
      <c r="E69" s="21">
        <f t="shared" si="20"/>
        <v>3</v>
      </c>
      <c r="F69" s="45"/>
      <c r="G69" s="46"/>
      <c r="H69" s="46"/>
      <c r="I69" s="46"/>
      <c r="J69" s="46"/>
      <c r="N69" s="10"/>
    </row>
    <row r="70" spans="1:28" ht="25.5" outlineLevel="1" x14ac:dyDescent="0.2">
      <c r="B70" s="2">
        <v>4</v>
      </c>
      <c r="C70" s="22" t="s">
        <v>68</v>
      </c>
      <c r="D70" s="12" t="b">
        <v>0</v>
      </c>
      <c r="E70" s="21">
        <f t="shared" si="20"/>
        <v>0</v>
      </c>
      <c r="F70" s="45"/>
      <c r="G70" s="46"/>
      <c r="H70" s="46"/>
      <c r="I70" s="46"/>
      <c r="J70" s="46"/>
      <c r="N70" s="10"/>
    </row>
    <row r="71" spans="1:28" ht="25.5" outlineLevel="1" x14ac:dyDescent="0.2">
      <c r="B71" s="2">
        <v>5</v>
      </c>
      <c r="C71" s="22" t="s">
        <v>69</v>
      </c>
      <c r="D71" s="12" t="b">
        <v>0</v>
      </c>
      <c r="E71" s="21">
        <f t="shared" si="20"/>
        <v>0</v>
      </c>
      <c r="F71" s="45"/>
      <c r="G71" s="46"/>
      <c r="H71" s="46"/>
      <c r="I71" s="46"/>
      <c r="J71" s="46"/>
      <c r="N71" s="10"/>
    </row>
    <row r="72" spans="1:28" ht="12.75" x14ac:dyDescent="0.2">
      <c r="B72" s="2"/>
      <c r="C72" s="22"/>
      <c r="D72" s="43"/>
      <c r="E72" s="21"/>
      <c r="F72" s="3"/>
      <c r="G72" s="3"/>
      <c r="H72" s="3"/>
      <c r="I72" s="3"/>
      <c r="J72" s="3"/>
      <c r="N72" s="10"/>
    </row>
    <row r="73" spans="1:28" x14ac:dyDescent="0.2">
      <c r="C73" s="13" t="s">
        <v>13</v>
      </c>
      <c r="D73" s="14" t="s">
        <v>12</v>
      </c>
      <c r="F73" s="15">
        <f>AVERAGE(F75:F91)</f>
        <v>4</v>
      </c>
      <c r="G73" s="16">
        <v>2</v>
      </c>
      <c r="H73" s="17">
        <v>3</v>
      </c>
      <c r="I73" s="18">
        <v>4</v>
      </c>
      <c r="J73" s="19">
        <v>5</v>
      </c>
      <c r="M73" s="20">
        <f>IF($G$4,G73,IF($H$4,H73,IF($I$4,I73,IF($J$4,J73,0))))</f>
        <v>2</v>
      </c>
      <c r="N73" s="10"/>
    </row>
    <row r="74" spans="1:28" ht="12.75" outlineLevel="1" x14ac:dyDescent="0.2">
      <c r="C74" s="25"/>
      <c r="D74" s="43"/>
      <c r="F74" s="3"/>
      <c r="G74" s="3"/>
      <c r="H74" s="3"/>
      <c r="I74" s="3"/>
      <c r="J74" s="3"/>
      <c r="N74" s="10"/>
    </row>
    <row r="75" spans="1:28" ht="12.75" outlineLevel="1" x14ac:dyDescent="0.2">
      <c r="A75" s="26"/>
      <c r="B75" s="26"/>
      <c r="C75" s="27" t="s">
        <v>70</v>
      </c>
      <c r="D75" s="14" t="s">
        <v>12</v>
      </c>
      <c r="E75" s="26"/>
      <c r="F75" s="21">
        <f>SUM(E76:E79)</f>
        <v>5</v>
      </c>
      <c r="G75" s="16">
        <v>2</v>
      </c>
      <c r="H75" s="17">
        <v>3</v>
      </c>
      <c r="I75" s="18">
        <v>4</v>
      </c>
      <c r="J75" s="19">
        <v>5</v>
      </c>
      <c r="K75" s="26"/>
      <c r="L75" s="26"/>
      <c r="M75" s="26"/>
      <c r="N75" s="10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12.75" outlineLevel="1" x14ac:dyDescent="0.2">
      <c r="A76" s="26"/>
      <c r="B76" s="28">
        <v>2</v>
      </c>
      <c r="C76" s="29" t="s">
        <v>71</v>
      </c>
      <c r="D76" s="38" t="b">
        <v>1</v>
      </c>
      <c r="E76" s="30">
        <f t="shared" ref="E76:E79" si="21">IF(D76,B76,0)</f>
        <v>2</v>
      </c>
      <c r="F76" s="47"/>
      <c r="G76" s="46"/>
      <c r="H76" s="46"/>
      <c r="I76" s="46"/>
      <c r="J76" s="46"/>
      <c r="K76" s="26"/>
      <c r="L76" s="26"/>
      <c r="M76" s="26"/>
      <c r="N76" s="10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25.5" outlineLevel="1" x14ac:dyDescent="0.2">
      <c r="A77" s="26"/>
      <c r="B77" s="28">
        <v>3</v>
      </c>
      <c r="C77" s="29" t="s">
        <v>72</v>
      </c>
      <c r="D77" s="31" t="b">
        <v>1</v>
      </c>
      <c r="E77" s="30">
        <f t="shared" si="21"/>
        <v>3</v>
      </c>
      <c r="F77" s="45"/>
      <c r="G77" s="46"/>
      <c r="H77" s="46"/>
      <c r="I77" s="46"/>
      <c r="J77" s="46"/>
      <c r="K77" s="26"/>
      <c r="L77" s="26"/>
      <c r="M77" s="26"/>
      <c r="N77" s="10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25.5" outlineLevel="1" x14ac:dyDescent="0.2">
      <c r="A78" s="26"/>
      <c r="B78" s="28">
        <v>4</v>
      </c>
      <c r="C78" s="29" t="s">
        <v>73</v>
      </c>
      <c r="D78" s="31" t="b">
        <v>0</v>
      </c>
      <c r="E78" s="30">
        <f t="shared" si="21"/>
        <v>0</v>
      </c>
      <c r="F78" s="45"/>
      <c r="G78" s="46"/>
      <c r="H78" s="46"/>
      <c r="I78" s="46"/>
      <c r="J78" s="46"/>
      <c r="K78" s="26"/>
      <c r="L78" s="26"/>
      <c r="M78" s="26"/>
      <c r="N78" s="10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25.5" outlineLevel="1" x14ac:dyDescent="0.2">
      <c r="A79" s="26"/>
      <c r="B79" s="28">
        <v>5</v>
      </c>
      <c r="C79" s="29" t="s">
        <v>74</v>
      </c>
      <c r="D79" s="31" t="b">
        <v>0</v>
      </c>
      <c r="E79" s="30">
        <f t="shared" si="21"/>
        <v>0</v>
      </c>
      <c r="F79" s="45"/>
      <c r="G79" s="46"/>
      <c r="H79" s="46"/>
      <c r="I79" s="46"/>
      <c r="J79" s="46"/>
      <c r="K79" s="26"/>
      <c r="L79" s="26"/>
      <c r="M79" s="26"/>
      <c r="N79" s="10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12.75" outlineLevel="1" x14ac:dyDescent="0.2">
      <c r="C80" s="25"/>
      <c r="D80" s="43"/>
      <c r="F80" s="3"/>
      <c r="G80" s="3"/>
      <c r="H80" s="3"/>
      <c r="I80" s="3"/>
      <c r="J80" s="3"/>
      <c r="N80" s="10"/>
    </row>
    <row r="81" spans="1:14" ht="12.75" outlineLevel="1" x14ac:dyDescent="0.2">
      <c r="C81" s="32" t="s">
        <v>75</v>
      </c>
      <c r="D81" s="14" t="s">
        <v>12</v>
      </c>
      <c r="F81" s="21">
        <f>SUM(E82:E85)</f>
        <v>2</v>
      </c>
      <c r="G81" s="16">
        <v>2</v>
      </c>
      <c r="H81" s="17">
        <v>3</v>
      </c>
      <c r="I81" s="18">
        <v>4</v>
      </c>
      <c r="J81" s="19">
        <v>5</v>
      </c>
      <c r="N81" s="10"/>
    </row>
    <row r="82" spans="1:14" ht="12.75" outlineLevel="1" x14ac:dyDescent="0.2">
      <c r="A82" s="2"/>
      <c r="B82" s="2">
        <v>2</v>
      </c>
      <c r="C82" s="24" t="s">
        <v>76</v>
      </c>
      <c r="D82" s="42" t="b">
        <v>1</v>
      </c>
      <c r="E82" s="21">
        <f t="shared" ref="E82:E85" si="22">IF(D82,B82,0)</f>
        <v>2</v>
      </c>
      <c r="F82" s="47"/>
      <c r="G82" s="46"/>
      <c r="H82" s="46"/>
      <c r="I82" s="46"/>
      <c r="J82" s="46"/>
      <c r="N82" s="10"/>
    </row>
    <row r="83" spans="1:14" ht="12.75" outlineLevel="1" x14ac:dyDescent="0.2">
      <c r="A83" s="2"/>
      <c r="B83" s="2">
        <v>3</v>
      </c>
      <c r="C83" s="24" t="s">
        <v>77</v>
      </c>
      <c r="D83" s="12" t="b">
        <v>0</v>
      </c>
      <c r="E83" s="21">
        <f t="shared" si="22"/>
        <v>0</v>
      </c>
      <c r="F83" s="45"/>
      <c r="G83" s="46"/>
      <c r="H83" s="46"/>
      <c r="I83" s="46"/>
      <c r="J83" s="46"/>
      <c r="N83" s="10"/>
    </row>
    <row r="84" spans="1:14" ht="25.5" outlineLevel="1" x14ac:dyDescent="0.2">
      <c r="A84" s="2"/>
      <c r="B84" s="2">
        <v>4</v>
      </c>
      <c r="C84" s="24" t="s">
        <v>78</v>
      </c>
      <c r="D84" s="12" t="b">
        <v>0</v>
      </c>
      <c r="E84" s="21">
        <f t="shared" si="22"/>
        <v>0</v>
      </c>
      <c r="F84" s="45"/>
      <c r="G84" s="46"/>
      <c r="H84" s="46"/>
      <c r="I84" s="46"/>
      <c r="J84" s="46"/>
      <c r="N84" s="10"/>
    </row>
    <row r="85" spans="1:14" ht="25.5" outlineLevel="1" x14ac:dyDescent="0.2">
      <c r="A85" s="2"/>
      <c r="B85" s="2">
        <v>5</v>
      </c>
      <c r="C85" s="22" t="s">
        <v>79</v>
      </c>
      <c r="D85" s="12" t="b">
        <v>0</v>
      </c>
      <c r="E85" s="21">
        <f t="shared" si="22"/>
        <v>0</v>
      </c>
      <c r="F85" s="45"/>
      <c r="G85" s="46"/>
      <c r="H85" s="46"/>
      <c r="I85" s="46"/>
      <c r="J85" s="46"/>
      <c r="N85" s="10"/>
    </row>
    <row r="86" spans="1:14" ht="12.75" outlineLevel="1" x14ac:dyDescent="0.2">
      <c r="C86" s="25"/>
      <c r="D86" s="43"/>
      <c r="F86" s="21"/>
      <c r="G86" s="21"/>
      <c r="H86" s="21"/>
      <c r="I86" s="21"/>
      <c r="J86" s="21"/>
      <c r="N86" s="10"/>
    </row>
    <row r="87" spans="1:14" ht="12.75" outlineLevel="1" x14ac:dyDescent="0.2">
      <c r="C87" s="25" t="s">
        <v>80</v>
      </c>
      <c r="D87" s="14" t="s">
        <v>12</v>
      </c>
      <c r="F87" s="21">
        <f>SUM(E88:E91)</f>
        <v>5</v>
      </c>
      <c r="G87" s="16">
        <v>2</v>
      </c>
      <c r="H87" s="17">
        <v>3</v>
      </c>
      <c r="I87" s="18">
        <v>4</v>
      </c>
      <c r="J87" s="19">
        <v>5</v>
      </c>
      <c r="N87" s="10"/>
    </row>
    <row r="88" spans="1:14" ht="38.25" outlineLevel="1" x14ac:dyDescent="0.2">
      <c r="A88" s="2"/>
      <c r="B88" s="2">
        <v>2</v>
      </c>
      <c r="C88" s="22" t="s">
        <v>81</v>
      </c>
      <c r="D88" s="42" t="b">
        <v>1</v>
      </c>
      <c r="E88" s="21">
        <f t="shared" ref="E88:E91" si="23">IF(D88,B88,0)</f>
        <v>2</v>
      </c>
      <c r="F88" s="47"/>
      <c r="G88" s="46"/>
      <c r="H88" s="46"/>
      <c r="I88" s="46"/>
      <c r="J88" s="46"/>
      <c r="N88" s="10"/>
    </row>
    <row r="89" spans="1:14" ht="25.5" outlineLevel="1" x14ac:dyDescent="0.2">
      <c r="A89" s="2"/>
      <c r="B89" s="2">
        <v>3</v>
      </c>
      <c r="C89" s="22" t="s">
        <v>82</v>
      </c>
      <c r="D89" s="12" t="b">
        <v>1</v>
      </c>
      <c r="E89" s="21">
        <f t="shared" si="23"/>
        <v>3</v>
      </c>
      <c r="F89" s="45"/>
      <c r="G89" s="46"/>
      <c r="H89" s="46"/>
      <c r="I89" s="46"/>
      <c r="J89" s="46"/>
      <c r="N89" s="10"/>
    </row>
    <row r="90" spans="1:14" ht="51" outlineLevel="1" x14ac:dyDescent="0.2">
      <c r="A90" s="2"/>
      <c r="B90" s="2">
        <v>4</v>
      </c>
      <c r="C90" s="22" t="s">
        <v>83</v>
      </c>
      <c r="D90" s="12" t="b">
        <v>0</v>
      </c>
      <c r="E90" s="21">
        <f t="shared" si="23"/>
        <v>0</v>
      </c>
      <c r="F90" s="45"/>
      <c r="G90" s="46"/>
      <c r="H90" s="46"/>
      <c r="I90" s="46"/>
      <c r="J90" s="46"/>
      <c r="N90" s="10"/>
    </row>
    <row r="91" spans="1:14" ht="25.5" outlineLevel="1" x14ac:dyDescent="0.2">
      <c r="A91" s="2"/>
      <c r="B91" s="2">
        <v>5</v>
      </c>
      <c r="C91" s="22" t="s">
        <v>84</v>
      </c>
      <c r="D91" s="12" t="b">
        <v>0</v>
      </c>
      <c r="E91" s="21">
        <f t="shared" si="23"/>
        <v>0</v>
      </c>
      <c r="F91" s="45"/>
      <c r="G91" s="46"/>
      <c r="H91" s="46"/>
      <c r="I91" s="46"/>
      <c r="J91" s="46"/>
      <c r="N91" s="10"/>
    </row>
    <row r="92" spans="1:14" ht="12.75" x14ac:dyDescent="0.2">
      <c r="C92" s="25"/>
      <c r="D92" s="43"/>
      <c r="F92" s="3"/>
      <c r="G92" s="3"/>
      <c r="H92" s="3"/>
      <c r="I92" s="3"/>
      <c r="J92" s="3"/>
      <c r="M92" s="20">
        <f t="shared" ref="M92:M93" si="24">IF($G$4,G92,IF($H$4,H92,IF($I$4,I92,IF($J$4,J92,0))))</f>
        <v>0</v>
      </c>
      <c r="N92" s="10"/>
    </row>
    <row r="93" spans="1:14" x14ac:dyDescent="0.2">
      <c r="C93" s="13" t="s">
        <v>16</v>
      </c>
      <c r="D93" s="14" t="s">
        <v>12</v>
      </c>
      <c r="F93" s="15">
        <f>AVERAGE(F95:F105)</f>
        <v>5</v>
      </c>
      <c r="G93" s="16">
        <v>2</v>
      </c>
      <c r="H93" s="17">
        <v>3</v>
      </c>
      <c r="I93" s="18">
        <v>4</v>
      </c>
      <c r="J93" s="19">
        <v>5</v>
      </c>
      <c r="M93" s="20">
        <f t="shared" si="24"/>
        <v>2</v>
      </c>
      <c r="N93" s="10"/>
    </row>
    <row r="94" spans="1:14" ht="12.75" outlineLevel="1" x14ac:dyDescent="0.2">
      <c r="C94" s="25"/>
      <c r="D94" s="43"/>
      <c r="F94" s="21"/>
      <c r="G94" s="21"/>
      <c r="H94" s="21"/>
      <c r="I94" s="21"/>
      <c r="J94" s="21"/>
      <c r="N94" s="10"/>
    </row>
    <row r="95" spans="1:14" ht="12.75" outlineLevel="1" x14ac:dyDescent="0.2">
      <c r="C95" s="25" t="s">
        <v>85</v>
      </c>
      <c r="D95" s="43"/>
      <c r="F95" s="21">
        <f>SUM(E96:E99)</f>
        <v>5</v>
      </c>
      <c r="G95" s="16">
        <v>2</v>
      </c>
      <c r="H95" s="17">
        <v>3</v>
      </c>
      <c r="I95" s="18">
        <v>4</v>
      </c>
      <c r="J95" s="19">
        <v>5</v>
      </c>
      <c r="N95" s="10"/>
    </row>
    <row r="96" spans="1:14" ht="12.75" outlineLevel="1" x14ac:dyDescent="0.2">
      <c r="A96" s="2"/>
      <c r="B96" s="2">
        <v>2</v>
      </c>
      <c r="C96" s="22" t="s">
        <v>86</v>
      </c>
      <c r="D96" s="42" t="b">
        <v>1</v>
      </c>
      <c r="E96" s="21">
        <f t="shared" ref="E96:E99" si="25">IF(D96,B96,0)</f>
        <v>2</v>
      </c>
      <c r="F96" s="47"/>
      <c r="G96" s="46"/>
      <c r="H96" s="46"/>
      <c r="I96" s="46"/>
      <c r="J96" s="46"/>
      <c r="N96" s="10"/>
    </row>
    <row r="97" spans="1:14" ht="12.75" outlineLevel="1" x14ac:dyDescent="0.2">
      <c r="A97" s="2"/>
      <c r="B97" s="2">
        <v>3</v>
      </c>
      <c r="C97" s="22" t="s">
        <v>87</v>
      </c>
      <c r="D97" s="12" t="b">
        <v>1</v>
      </c>
      <c r="E97" s="21">
        <f t="shared" si="25"/>
        <v>3</v>
      </c>
      <c r="F97" s="45"/>
      <c r="G97" s="46"/>
      <c r="H97" s="46"/>
      <c r="I97" s="46"/>
      <c r="J97" s="46"/>
      <c r="N97" s="10"/>
    </row>
    <row r="98" spans="1:14" ht="25.5" outlineLevel="1" x14ac:dyDescent="0.2">
      <c r="A98" s="2"/>
      <c r="B98" s="2">
        <v>4</v>
      </c>
      <c r="C98" s="22" t="s">
        <v>88</v>
      </c>
      <c r="D98" s="12" t="b">
        <v>0</v>
      </c>
      <c r="E98" s="21">
        <f t="shared" si="25"/>
        <v>0</v>
      </c>
      <c r="F98" s="45"/>
      <c r="G98" s="46"/>
      <c r="H98" s="46"/>
      <c r="I98" s="46"/>
      <c r="J98" s="46"/>
      <c r="N98" s="10"/>
    </row>
    <row r="99" spans="1:14" ht="25.5" outlineLevel="1" x14ac:dyDescent="0.2">
      <c r="A99" s="2"/>
      <c r="B99" s="2">
        <v>5</v>
      </c>
      <c r="C99" s="22" t="s">
        <v>89</v>
      </c>
      <c r="D99" s="12" t="b">
        <v>0</v>
      </c>
      <c r="E99" s="21">
        <f t="shared" si="25"/>
        <v>0</v>
      </c>
      <c r="F99" s="45"/>
      <c r="G99" s="46"/>
      <c r="H99" s="46"/>
      <c r="I99" s="46"/>
      <c r="J99" s="46"/>
      <c r="N99" s="10"/>
    </row>
    <row r="100" spans="1:14" ht="12.75" outlineLevel="1" x14ac:dyDescent="0.2">
      <c r="C100" s="24"/>
      <c r="D100" s="43"/>
      <c r="F100" s="3"/>
      <c r="G100" s="3"/>
      <c r="H100" s="3"/>
      <c r="I100" s="3"/>
      <c r="J100" s="3"/>
      <c r="N100" s="10"/>
    </row>
    <row r="101" spans="1:14" ht="12.75" outlineLevel="1" x14ac:dyDescent="0.2">
      <c r="C101" s="25" t="s">
        <v>90</v>
      </c>
      <c r="D101" s="14" t="s">
        <v>12</v>
      </c>
      <c r="F101" s="21">
        <f>SUM(E102:E105)</f>
        <v>5</v>
      </c>
      <c r="G101" s="16">
        <v>2</v>
      </c>
      <c r="H101" s="17">
        <v>3</v>
      </c>
      <c r="I101" s="18">
        <v>4</v>
      </c>
      <c r="J101" s="19">
        <v>5</v>
      </c>
      <c r="N101" s="10"/>
    </row>
    <row r="102" spans="1:14" ht="25.5" outlineLevel="1" x14ac:dyDescent="0.2">
      <c r="A102" s="2"/>
      <c r="B102" s="2">
        <v>2</v>
      </c>
      <c r="C102" s="22" t="s">
        <v>91</v>
      </c>
      <c r="D102" s="42" t="b">
        <v>1</v>
      </c>
      <c r="E102" s="21">
        <f t="shared" ref="E102:E105" si="26">IF(D102,B102,0)</f>
        <v>2</v>
      </c>
      <c r="F102" s="47"/>
      <c r="G102" s="46"/>
      <c r="H102" s="46"/>
      <c r="I102" s="46"/>
      <c r="J102" s="46"/>
      <c r="N102" s="10"/>
    </row>
    <row r="103" spans="1:14" ht="38.25" outlineLevel="1" x14ac:dyDescent="0.2">
      <c r="A103" s="2"/>
      <c r="B103" s="2">
        <v>3</v>
      </c>
      <c r="C103" s="22" t="s">
        <v>92</v>
      </c>
      <c r="D103" s="12" t="b">
        <v>1</v>
      </c>
      <c r="E103" s="21">
        <f t="shared" si="26"/>
        <v>3</v>
      </c>
      <c r="F103" s="45"/>
      <c r="G103" s="46"/>
      <c r="H103" s="46"/>
      <c r="I103" s="46"/>
      <c r="J103" s="46"/>
      <c r="N103" s="10"/>
    </row>
    <row r="104" spans="1:14" ht="38.25" outlineLevel="1" x14ac:dyDescent="0.2">
      <c r="A104" s="2"/>
      <c r="B104" s="2">
        <v>4</v>
      </c>
      <c r="C104" s="22" t="s">
        <v>93</v>
      </c>
      <c r="D104" s="12" t="b">
        <v>0</v>
      </c>
      <c r="E104" s="21">
        <f t="shared" si="26"/>
        <v>0</v>
      </c>
      <c r="F104" s="45"/>
      <c r="G104" s="46"/>
      <c r="H104" s="46"/>
      <c r="I104" s="46"/>
      <c r="J104" s="46"/>
      <c r="N104" s="10"/>
    </row>
    <row r="105" spans="1:14" ht="51" outlineLevel="1" x14ac:dyDescent="0.2">
      <c r="A105" s="2"/>
      <c r="B105" s="2">
        <v>5</v>
      </c>
      <c r="C105" s="22" t="s">
        <v>94</v>
      </c>
      <c r="D105" s="12" t="b">
        <v>0</v>
      </c>
      <c r="E105" s="21">
        <f t="shared" si="26"/>
        <v>0</v>
      </c>
      <c r="F105" s="45"/>
      <c r="G105" s="46"/>
      <c r="H105" s="46"/>
      <c r="I105" s="46"/>
      <c r="J105" s="46"/>
      <c r="N105" s="10"/>
    </row>
    <row r="106" spans="1:14" ht="12.75" x14ac:dyDescent="0.2">
      <c r="C106" s="24"/>
      <c r="D106" s="43"/>
      <c r="F106" s="3"/>
      <c r="G106" s="3"/>
      <c r="H106" s="3"/>
      <c r="I106" s="3"/>
      <c r="J106" s="3"/>
      <c r="N106" s="10"/>
    </row>
    <row r="107" spans="1:14" x14ac:dyDescent="0.2">
      <c r="C107" s="13" t="s">
        <v>18</v>
      </c>
      <c r="D107" s="14" t="s">
        <v>12</v>
      </c>
      <c r="F107" s="15">
        <f>AVERAGE(F109:F125)</f>
        <v>4</v>
      </c>
      <c r="G107" s="16">
        <v>2</v>
      </c>
      <c r="H107" s="17">
        <v>3</v>
      </c>
      <c r="I107" s="18">
        <v>4</v>
      </c>
      <c r="J107" s="19">
        <v>5</v>
      </c>
      <c r="M107" s="20">
        <f>IF($G$4,G107,IF($H$4,H107,IF($I$4,I107,IF($J$4,J107,0))))</f>
        <v>2</v>
      </c>
      <c r="N107" s="10"/>
    </row>
    <row r="108" spans="1:14" ht="12.75" outlineLevel="1" x14ac:dyDescent="0.2">
      <c r="C108" s="25"/>
      <c r="D108" s="43"/>
      <c r="F108" s="21"/>
      <c r="G108" s="21"/>
      <c r="H108" s="21"/>
      <c r="I108" s="21"/>
      <c r="J108" s="21"/>
    </row>
    <row r="109" spans="1:14" ht="12.75" outlineLevel="1" x14ac:dyDescent="0.2">
      <c r="C109" s="25" t="s">
        <v>95</v>
      </c>
      <c r="D109" s="14" t="s">
        <v>12</v>
      </c>
      <c r="F109" s="21">
        <f>SUM(E110:E113)</f>
        <v>5</v>
      </c>
      <c r="G109" s="16">
        <v>2</v>
      </c>
      <c r="H109" s="17">
        <v>3</v>
      </c>
      <c r="I109" s="18">
        <v>4</v>
      </c>
      <c r="J109" s="19">
        <v>5</v>
      </c>
    </row>
    <row r="110" spans="1:14" ht="12.75" outlineLevel="1" x14ac:dyDescent="0.2">
      <c r="A110" s="2"/>
      <c r="B110" s="2">
        <v>2</v>
      </c>
      <c r="C110" s="22" t="s">
        <v>96</v>
      </c>
      <c r="D110" s="42" t="b">
        <v>1</v>
      </c>
      <c r="E110" s="21">
        <f t="shared" ref="E110:E113" si="27">IF(D110,B110,0)</f>
        <v>2</v>
      </c>
      <c r="F110" s="47"/>
      <c r="G110" s="46"/>
      <c r="H110" s="46"/>
      <c r="I110" s="46"/>
      <c r="J110" s="46"/>
    </row>
    <row r="111" spans="1:14" ht="12.75" outlineLevel="1" x14ac:dyDescent="0.2">
      <c r="A111" s="2"/>
      <c r="B111" s="2">
        <v>3</v>
      </c>
      <c r="C111" s="22" t="s">
        <v>97</v>
      </c>
      <c r="D111" s="12" t="b">
        <v>1</v>
      </c>
      <c r="E111" s="21">
        <f t="shared" si="27"/>
        <v>3</v>
      </c>
      <c r="F111" s="45"/>
      <c r="G111" s="46"/>
      <c r="H111" s="46"/>
      <c r="I111" s="46"/>
      <c r="J111" s="46"/>
    </row>
    <row r="112" spans="1:14" ht="25.5" outlineLevel="1" x14ac:dyDescent="0.2">
      <c r="A112" s="2"/>
      <c r="B112" s="2">
        <v>4</v>
      </c>
      <c r="C112" s="22" t="s">
        <v>98</v>
      </c>
      <c r="D112" s="12" t="b">
        <v>0</v>
      </c>
      <c r="E112" s="21">
        <f t="shared" si="27"/>
        <v>0</v>
      </c>
      <c r="F112" s="45"/>
      <c r="G112" s="46"/>
      <c r="H112" s="46"/>
      <c r="I112" s="46"/>
      <c r="J112" s="46"/>
    </row>
    <row r="113" spans="1:13" ht="12.75" outlineLevel="1" x14ac:dyDescent="0.2">
      <c r="A113" s="2"/>
      <c r="B113" s="2">
        <v>5</v>
      </c>
      <c r="C113" s="22" t="s">
        <v>99</v>
      </c>
      <c r="D113" s="12" t="b">
        <v>0</v>
      </c>
      <c r="E113" s="21">
        <f t="shared" si="27"/>
        <v>0</v>
      </c>
      <c r="F113" s="45"/>
      <c r="G113" s="46"/>
      <c r="H113" s="46"/>
      <c r="I113" s="46"/>
      <c r="J113" s="46"/>
    </row>
    <row r="114" spans="1:13" ht="12.75" outlineLevel="1" x14ac:dyDescent="0.2">
      <c r="C114" s="24"/>
      <c r="D114" s="43"/>
      <c r="F114" s="3"/>
      <c r="G114" s="3"/>
      <c r="H114" s="3"/>
      <c r="I114" s="3"/>
      <c r="J114" s="3"/>
    </row>
    <row r="115" spans="1:13" ht="12.75" outlineLevel="1" x14ac:dyDescent="0.2">
      <c r="B115" s="33"/>
      <c r="C115" s="34" t="s">
        <v>100</v>
      </c>
      <c r="D115" s="14" t="s">
        <v>12</v>
      </c>
      <c r="F115" s="21">
        <f>SUM(E116:E119)</f>
        <v>5</v>
      </c>
      <c r="G115" s="16">
        <v>2</v>
      </c>
      <c r="H115" s="17">
        <v>3</v>
      </c>
      <c r="I115" s="18">
        <v>4</v>
      </c>
      <c r="J115" s="19">
        <v>5</v>
      </c>
    </row>
    <row r="116" spans="1:13" ht="12.75" outlineLevel="1" x14ac:dyDescent="0.2">
      <c r="B116" s="2">
        <v>2</v>
      </c>
      <c r="C116" s="35" t="s">
        <v>101</v>
      </c>
      <c r="D116" s="42" t="b">
        <v>1</v>
      </c>
      <c r="E116" s="21">
        <f t="shared" ref="E116:E119" si="28">IF(D116,B116,0)</f>
        <v>2</v>
      </c>
      <c r="F116" s="47"/>
      <c r="G116" s="46"/>
      <c r="H116" s="46"/>
      <c r="I116" s="46"/>
      <c r="J116" s="46"/>
    </row>
    <row r="117" spans="1:13" ht="12.75" outlineLevel="1" x14ac:dyDescent="0.2">
      <c r="B117" s="2">
        <v>3</v>
      </c>
      <c r="C117" s="35" t="s">
        <v>102</v>
      </c>
      <c r="D117" s="12" t="b">
        <v>1</v>
      </c>
      <c r="E117" s="21">
        <f t="shared" si="28"/>
        <v>3</v>
      </c>
      <c r="F117" s="45"/>
      <c r="G117" s="46"/>
      <c r="H117" s="46"/>
      <c r="I117" s="46"/>
      <c r="J117" s="46"/>
    </row>
    <row r="118" spans="1:13" ht="12.75" outlineLevel="1" x14ac:dyDescent="0.2">
      <c r="B118" s="2">
        <v>4</v>
      </c>
      <c r="C118" s="35" t="s">
        <v>103</v>
      </c>
      <c r="D118" s="12" t="b">
        <v>0</v>
      </c>
      <c r="E118" s="21">
        <f t="shared" si="28"/>
        <v>0</v>
      </c>
      <c r="F118" s="45"/>
      <c r="G118" s="46"/>
      <c r="H118" s="46"/>
      <c r="I118" s="46"/>
      <c r="J118" s="46"/>
    </row>
    <row r="119" spans="1:13" ht="12.75" outlineLevel="1" x14ac:dyDescent="0.2">
      <c r="B119" s="2">
        <v>5</v>
      </c>
      <c r="C119" s="35" t="s">
        <v>104</v>
      </c>
      <c r="D119" s="12" t="b">
        <v>0</v>
      </c>
      <c r="E119" s="21">
        <f t="shared" si="28"/>
        <v>0</v>
      </c>
      <c r="F119" s="45"/>
      <c r="G119" s="46"/>
      <c r="H119" s="46"/>
      <c r="I119" s="46"/>
      <c r="J119" s="46"/>
    </row>
    <row r="120" spans="1:13" ht="12.75" outlineLevel="1" x14ac:dyDescent="0.2">
      <c r="C120" s="24"/>
      <c r="D120" s="43"/>
      <c r="F120" s="3"/>
      <c r="G120" s="3"/>
      <c r="H120" s="3"/>
      <c r="I120" s="3"/>
      <c r="J120" s="3"/>
    </row>
    <row r="121" spans="1:13" ht="12.75" outlineLevel="1" x14ac:dyDescent="0.2">
      <c r="B121" s="33"/>
      <c r="C121" s="34" t="s">
        <v>105</v>
      </c>
      <c r="D121" s="14" t="s">
        <v>12</v>
      </c>
      <c r="F121" s="21">
        <f>SUM(E122:E125)</f>
        <v>2</v>
      </c>
      <c r="G121" s="16">
        <v>2</v>
      </c>
      <c r="H121" s="17">
        <v>3</v>
      </c>
      <c r="I121" s="18">
        <v>4</v>
      </c>
      <c r="J121" s="19">
        <v>5</v>
      </c>
    </row>
    <row r="122" spans="1:13" ht="12.75" outlineLevel="1" x14ac:dyDescent="0.2">
      <c r="B122" s="2">
        <v>2</v>
      </c>
      <c r="C122" s="35" t="s">
        <v>106</v>
      </c>
      <c r="D122" s="42" t="b">
        <v>1</v>
      </c>
      <c r="E122" s="21">
        <f t="shared" ref="E122:E125" si="29">IF(D122,B122,0)</f>
        <v>2</v>
      </c>
      <c r="F122" s="47"/>
      <c r="G122" s="46"/>
      <c r="H122" s="46"/>
      <c r="I122" s="46"/>
      <c r="J122" s="46"/>
    </row>
    <row r="123" spans="1:13" ht="25.5" outlineLevel="1" x14ac:dyDescent="0.2">
      <c r="B123" s="2">
        <v>3</v>
      </c>
      <c r="C123" s="35" t="s">
        <v>107</v>
      </c>
      <c r="D123" s="12" t="b">
        <v>0</v>
      </c>
      <c r="E123" s="21">
        <f t="shared" si="29"/>
        <v>0</v>
      </c>
      <c r="F123" s="45"/>
      <c r="G123" s="46"/>
      <c r="H123" s="46"/>
      <c r="I123" s="46"/>
      <c r="J123" s="46"/>
    </row>
    <row r="124" spans="1:13" ht="38.25" outlineLevel="1" x14ac:dyDescent="0.2">
      <c r="B124" s="2">
        <v>4</v>
      </c>
      <c r="C124" s="35" t="s">
        <v>108</v>
      </c>
      <c r="D124" s="12" t="b">
        <v>0</v>
      </c>
      <c r="E124" s="21">
        <f t="shared" si="29"/>
        <v>0</v>
      </c>
      <c r="F124" s="45"/>
      <c r="G124" s="46"/>
      <c r="H124" s="46"/>
      <c r="I124" s="46"/>
      <c r="J124" s="46"/>
    </row>
    <row r="125" spans="1:13" ht="25.5" outlineLevel="1" x14ac:dyDescent="0.2">
      <c r="B125" s="2">
        <v>5</v>
      </c>
      <c r="C125" s="35" t="s">
        <v>109</v>
      </c>
      <c r="D125" s="12" t="b">
        <v>0</v>
      </c>
      <c r="E125" s="21">
        <f t="shared" si="29"/>
        <v>0</v>
      </c>
      <c r="F125" s="45"/>
      <c r="G125" s="46"/>
      <c r="H125" s="46"/>
      <c r="I125" s="46"/>
      <c r="J125" s="46"/>
    </row>
    <row r="126" spans="1:13" x14ac:dyDescent="0.2">
      <c r="C126" s="13"/>
      <c r="D126" s="41"/>
      <c r="F126" s="3"/>
      <c r="G126" s="3"/>
      <c r="H126" s="3"/>
      <c r="I126" s="3"/>
      <c r="J126" s="3"/>
    </row>
    <row r="127" spans="1:13" x14ac:dyDescent="0.2">
      <c r="C127" s="13" t="s">
        <v>20</v>
      </c>
      <c r="D127" s="14" t="s">
        <v>12</v>
      </c>
      <c r="F127" s="15">
        <f>AVERAGE(F129:F133)</f>
        <v>2</v>
      </c>
      <c r="G127" s="16">
        <v>2</v>
      </c>
      <c r="H127" s="17">
        <v>3</v>
      </c>
      <c r="I127" s="18">
        <v>4</v>
      </c>
      <c r="J127" s="19">
        <v>5</v>
      </c>
      <c r="M127" s="20">
        <f>IF($G$4,G127,IF($H$4,H127,IF($I$4,I127,IF($J$4,J127,0))))</f>
        <v>2</v>
      </c>
    </row>
    <row r="128" spans="1:13" ht="12.75" outlineLevel="1" x14ac:dyDescent="0.2">
      <c r="C128" s="24"/>
      <c r="D128" s="43"/>
      <c r="F128" s="3"/>
      <c r="G128" s="3"/>
      <c r="H128" s="3"/>
      <c r="I128" s="3"/>
      <c r="J128" s="3"/>
    </row>
    <row r="129" spans="1:13" ht="12.75" outlineLevel="1" x14ac:dyDescent="0.2">
      <c r="C129" s="25" t="s">
        <v>20</v>
      </c>
      <c r="D129" s="43"/>
      <c r="F129" s="21">
        <f>SUM(E130:E133)</f>
        <v>2</v>
      </c>
      <c r="G129" s="16">
        <v>2</v>
      </c>
      <c r="H129" s="17">
        <v>3</v>
      </c>
      <c r="I129" s="18">
        <v>4</v>
      </c>
      <c r="J129" s="19">
        <v>5</v>
      </c>
    </row>
    <row r="130" spans="1:13" ht="12.75" outlineLevel="1" x14ac:dyDescent="0.2">
      <c r="A130" s="2"/>
      <c r="B130" s="2">
        <v>2</v>
      </c>
      <c r="C130" s="22" t="s">
        <v>110</v>
      </c>
      <c r="D130" s="42" t="b">
        <v>1</v>
      </c>
      <c r="E130" s="21">
        <f t="shared" ref="E130:E133" si="30">IF(D130,B130,0)</f>
        <v>2</v>
      </c>
      <c r="F130" s="47"/>
      <c r="G130" s="46"/>
      <c r="H130" s="46"/>
      <c r="I130" s="46"/>
      <c r="J130" s="46"/>
    </row>
    <row r="131" spans="1:13" ht="12.75" outlineLevel="1" x14ac:dyDescent="0.2">
      <c r="A131" s="2"/>
      <c r="B131" s="2">
        <v>3</v>
      </c>
      <c r="C131" s="22" t="s">
        <v>111</v>
      </c>
      <c r="D131" s="12" t="b">
        <v>0</v>
      </c>
      <c r="E131" s="21">
        <f t="shared" si="30"/>
        <v>0</v>
      </c>
      <c r="F131" s="45"/>
      <c r="G131" s="46"/>
      <c r="H131" s="46"/>
      <c r="I131" s="46"/>
      <c r="J131" s="46"/>
    </row>
    <row r="132" spans="1:13" ht="38.25" outlineLevel="1" x14ac:dyDescent="0.2">
      <c r="A132" s="2"/>
      <c r="B132" s="2">
        <v>4</v>
      </c>
      <c r="C132" s="22" t="s">
        <v>112</v>
      </c>
      <c r="D132" s="12" t="b">
        <v>0</v>
      </c>
      <c r="E132" s="21">
        <f t="shared" si="30"/>
        <v>0</v>
      </c>
      <c r="F132" s="45"/>
      <c r="G132" s="46"/>
      <c r="H132" s="46"/>
      <c r="I132" s="46"/>
      <c r="J132" s="46"/>
    </row>
    <row r="133" spans="1:13" ht="25.5" outlineLevel="1" x14ac:dyDescent="0.2">
      <c r="A133" s="2"/>
      <c r="B133" s="2">
        <v>5</v>
      </c>
      <c r="C133" s="22" t="s">
        <v>113</v>
      </c>
      <c r="D133" s="12" t="b">
        <v>0</v>
      </c>
      <c r="E133" s="21">
        <f t="shared" si="30"/>
        <v>0</v>
      </c>
      <c r="F133" s="45"/>
      <c r="G133" s="46"/>
      <c r="H133" s="46"/>
      <c r="I133" s="46"/>
      <c r="J133" s="46"/>
    </row>
    <row r="134" spans="1:13" ht="12.75" x14ac:dyDescent="0.2">
      <c r="C134" s="22"/>
      <c r="D134" s="43"/>
      <c r="E134" s="21"/>
      <c r="F134" s="3"/>
      <c r="G134" s="3"/>
      <c r="H134" s="3"/>
      <c r="I134" s="3"/>
      <c r="J134" s="3"/>
    </row>
    <row r="135" spans="1:13" x14ac:dyDescent="0.2">
      <c r="C135" s="13" t="s">
        <v>22</v>
      </c>
      <c r="D135" s="14" t="s">
        <v>12</v>
      </c>
      <c r="E135" s="21"/>
      <c r="F135" s="15">
        <f>AVERAGE(F137:F147)</f>
        <v>5</v>
      </c>
      <c r="G135" s="16">
        <v>2</v>
      </c>
      <c r="H135" s="17">
        <v>3</v>
      </c>
      <c r="I135" s="18">
        <v>4</v>
      </c>
      <c r="J135" s="19">
        <v>5</v>
      </c>
      <c r="M135" s="20">
        <f>IF($G$4,G135,IF($H$4,H135,IF($I$4,I135,IF($J$4,J135,0))))</f>
        <v>2</v>
      </c>
    </row>
    <row r="136" spans="1:13" ht="12.75" outlineLevel="1" x14ac:dyDescent="0.2">
      <c r="C136" s="32"/>
      <c r="D136" s="43"/>
      <c r="F136" s="3"/>
      <c r="G136" s="3"/>
      <c r="H136" s="3"/>
      <c r="I136" s="3"/>
      <c r="J136" s="3"/>
    </row>
    <row r="137" spans="1:13" ht="12.75" outlineLevel="1" x14ac:dyDescent="0.2">
      <c r="C137" s="32" t="s">
        <v>114</v>
      </c>
      <c r="D137" s="43"/>
      <c r="F137" s="21">
        <f>SUM(E138:E141)</f>
        <v>5</v>
      </c>
      <c r="G137" s="16">
        <v>2</v>
      </c>
      <c r="H137" s="17">
        <v>3</v>
      </c>
      <c r="I137" s="18">
        <v>4</v>
      </c>
      <c r="J137" s="19">
        <v>5</v>
      </c>
    </row>
    <row r="138" spans="1:13" ht="25.5" outlineLevel="1" x14ac:dyDescent="0.2">
      <c r="A138" s="2"/>
      <c r="B138" s="2">
        <v>2</v>
      </c>
      <c r="C138" s="24" t="s">
        <v>115</v>
      </c>
      <c r="D138" s="42" t="b">
        <v>1</v>
      </c>
      <c r="E138" s="21">
        <f t="shared" ref="E138:E141" si="31">IF(D138,B138,0)</f>
        <v>2</v>
      </c>
      <c r="F138" s="47"/>
      <c r="G138" s="46"/>
      <c r="H138" s="46"/>
      <c r="I138" s="46"/>
      <c r="J138" s="46"/>
    </row>
    <row r="139" spans="1:13" ht="12.75" outlineLevel="1" x14ac:dyDescent="0.2">
      <c r="A139" s="2"/>
      <c r="B139" s="2">
        <v>3</v>
      </c>
      <c r="C139" s="24" t="s">
        <v>116</v>
      </c>
      <c r="D139" s="12" t="b">
        <v>1</v>
      </c>
      <c r="E139" s="21">
        <f t="shared" si="31"/>
        <v>3</v>
      </c>
      <c r="F139" s="45"/>
      <c r="G139" s="46"/>
      <c r="H139" s="46"/>
      <c r="I139" s="46"/>
      <c r="J139" s="46"/>
    </row>
    <row r="140" spans="1:13" ht="12.75" outlineLevel="1" x14ac:dyDescent="0.2">
      <c r="A140" s="2"/>
      <c r="B140" s="2">
        <v>4</v>
      </c>
      <c r="C140" s="24" t="s">
        <v>117</v>
      </c>
      <c r="D140" s="12" t="b">
        <v>0</v>
      </c>
      <c r="E140" s="21">
        <f t="shared" si="31"/>
        <v>0</v>
      </c>
      <c r="F140" s="45"/>
      <c r="G140" s="46"/>
      <c r="H140" s="46"/>
      <c r="I140" s="46"/>
      <c r="J140" s="46"/>
    </row>
    <row r="141" spans="1:13" ht="25.5" outlineLevel="1" x14ac:dyDescent="0.2">
      <c r="A141" s="2"/>
      <c r="B141" s="2">
        <v>5</v>
      </c>
      <c r="C141" s="24" t="s">
        <v>118</v>
      </c>
      <c r="D141" s="12" t="b">
        <v>0</v>
      </c>
      <c r="E141" s="21">
        <f t="shared" si="31"/>
        <v>0</v>
      </c>
      <c r="F141" s="45"/>
      <c r="G141" s="46"/>
      <c r="H141" s="46"/>
      <c r="I141" s="46"/>
      <c r="J141" s="46"/>
    </row>
    <row r="142" spans="1:13" ht="12.75" outlineLevel="1" x14ac:dyDescent="0.2">
      <c r="C142" s="24"/>
      <c r="D142" s="43"/>
      <c r="F142" s="3"/>
      <c r="G142" s="3"/>
      <c r="H142" s="3"/>
      <c r="I142" s="3"/>
      <c r="J142" s="3"/>
    </row>
    <row r="143" spans="1:13" ht="12.75" outlineLevel="1" x14ac:dyDescent="0.2">
      <c r="C143" s="25" t="s">
        <v>119</v>
      </c>
      <c r="D143" s="43"/>
      <c r="F143" s="21">
        <f>SUM(E144:E147)</f>
        <v>5</v>
      </c>
      <c r="G143" s="16">
        <v>2</v>
      </c>
      <c r="H143" s="17">
        <v>3</v>
      </c>
      <c r="I143" s="18">
        <v>4</v>
      </c>
      <c r="J143" s="19">
        <v>5</v>
      </c>
    </row>
    <row r="144" spans="1:13" ht="12.75" outlineLevel="1" x14ac:dyDescent="0.2">
      <c r="A144" s="2"/>
      <c r="B144" s="2">
        <v>2</v>
      </c>
      <c r="C144" s="24" t="s">
        <v>120</v>
      </c>
      <c r="D144" s="42" t="b">
        <v>1</v>
      </c>
      <c r="E144" s="21">
        <f t="shared" ref="E144:E147" si="32">IF(D144,B144,0)</f>
        <v>2</v>
      </c>
      <c r="F144" s="47"/>
      <c r="G144" s="46"/>
      <c r="H144" s="46"/>
      <c r="I144" s="46"/>
      <c r="J144" s="46"/>
    </row>
    <row r="145" spans="1:13" ht="25.5" outlineLevel="1" x14ac:dyDescent="0.2">
      <c r="A145" s="2"/>
      <c r="B145" s="2">
        <v>3</v>
      </c>
      <c r="C145" s="24" t="s">
        <v>121</v>
      </c>
      <c r="D145" s="12" t="b">
        <v>1</v>
      </c>
      <c r="E145" s="21">
        <f t="shared" si="32"/>
        <v>3</v>
      </c>
      <c r="F145" s="45"/>
      <c r="G145" s="46"/>
      <c r="H145" s="46"/>
      <c r="I145" s="46"/>
      <c r="J145" s="46"/>
    </row>
    <row r="146" spans="1:13" ht="25.5" outlineLevel="1" x14ac:dyDescent="0.2">
      <c r="A146" s="2"/>
      <c r="B146" s="2">
        <v>4</v>
      </c>
      <c r="C146" s="24" t="s">
        <v>122</v>
      </c>
      <c r="D146" s="12" t="b">
        <v>0</v>
      </c>
      <c r="E146" s="21">
        <f t="shared" si="32"/>
        <v>0</v>
      </c>
      <c r="F146" s="45"/>
      <c r="G146" s="46"/>
      <c r="H146" s="46"/>
      <c r="I146" s="46"/>
      <c r="J146" s="46"/>
    </row>
    <row r="147" spans="1:13" ht="38.25" outlineLevel="1" x14ac:dyDescent="0.2">
      <c r="A147" s="2"/>
      <c r="B147" s="2">
        <v>5</v>
      </c>
      <c r="C147" s="24" t="s">
        <v>123</v>
      </c>
      <c r="D147" s="12" t="b">
        <v>0</v>
      </c>
      <c r="E147" s="21">
        <f t="shared" si="32"/>
        <v>0</v>
      </c>
      <c r="F147" s="45"/>
      <c r="G147" s="46"/>
      <c r="H147" s="46"/>
      <c r="I147" s="46"/>
      <c r="J147" s="46"/>
    </row>
    <row r="148" spans="1:13" x14ac:dyDescent="0.2">
      <c r="C148" s="13"/>
      <c r="D148" s="43"/>
      <c r="F148" s="3"/>
      <c r="G148" s="3"/>
      <c r="H148" s="3"/>
      <c r="I148" s="3"/>
      <c r="J148" s="3"/>
    </row>
    <row r="149" spans="1:13" x14ac:dyDescent="0.2">
      <c r="C149" s="13" t="s">
        <v>23</v>
      </c>
      <c r="D149" s="14" t="s">
        <v>12</v>
      </c>
      <c r="F149" s="15">
        <f>AVERAGE(F151:F181)</f>
        <v>4.5</v>
      </c>
      <c r="G149" s="16">
        <v>2</v>
      </c>
      <c r="H149" s="17">
        <v>3</v>
      </c>
      <c r="I149" s="18">
        <v>4</v>
      </c>
      <c r="J149" s="19">
        <v>5</v>
      </c>
      <c r="M149" s="20">
        <f>IF($G$4,G149,IF($H$4,H149,IF($I$4,I149,IF($J$4,J149,0))))</f>
        <v>2</v>
      </c>
    </row>
    <row r="150" spans="1:13" ht="12.75" outlineLevel="1" x14ac:dyDescent="0.2">
      <c r="C150" s="25"/>
      <c r="D150" s="43"/>
      <c r="F150" s="21"/>
      <c r="G150" s="21"/>
      <c r="H150" s="21"/>
      <c r="I150" s="21"/>
      <c r="J150" s="21"/>
    </row>
    <row r="151" spans="1:13" ht="12.75" outlineLevel="1" x14ac:dyDescent="0.2">
      <c r="C151" s="25" t="s">
        <v>124</v>
      </c>
      <c r="D151" s="43"/>
      <c r="F151" s="21">
        <f>SUM(E152:E155)</f>
        <v>5</v>
      </c>
      <c r="G151" s="16">
        <v>2</v>
      </c>
      <c r="H151" s="17">
        <v>3</v>
      </c>
      <c r="I151" s="18">
        <v>4</v>
      </c>
      <c r="J151" s="19">
        <v>5</v>
      </c>
    </row>
    <row r="152" spans="1:13" ht="12.75" outlineLevel="1" x14ac:dyDescent="0.2">
      <c r="A152" s="2"/>
      <c r="B152" s="2">
        <v>2</v>
      </c>
      <c r="C152" s="22" t="s">
        <v>125</v>
      </c>
      <c r="D152" s="42" t="b">
        <v>1</v>
      </c>
      <c r="E152" s="21">
        <f t="shared" ref="E152:E155" si="33">IF(D152,B152,0)</f>
        <v>2</v>
      </c>
      <c r="F152" s="47"/>
      <c r="G152" s="46"/>
      <c r="H152" s="46"/>
      <c r="I152" s="46"/>
      <c r="J152" s="46"/>
    </row>
    <row r="153" spans="1:13" ht="25.5" outlineLevel="1" x14ac:dyDescent="0.2">
      <c r="A153" s="2"/>
      <c r="B153" s="2">
        <v>3</v>
      </c>
      <c r="C153" s="22" t="s">
        <v>126</v>
      </c>
      <c r="D153" s="12" t="b">
        <v>1</v>
      </c>
      <c r="E153" s="21">
        <f t="shared" si="33"/>
        <v>3</v>
      </c>
      <c r="F153" s="45"/>
      <c r="G153" s="46"/>
      <c r="H153" s="46"/>
      <c r="I153" s="46"/>
      <c r="J153" s="46"/>
    </row>
    <row r="154" spans="1:13" ht="25.5" outlineLevel="1" x14ac:dyDescent="0.2">
      <c r="A154" s="2"/>
      <c r="B154" s="2">
        <v>4</v>
      </c>
      <c r="C154" s="22" t="s">
        <v>127</v>
      </c>
      <c r="D154" s="12" t="b">
        <v>0</v>
      </c>
      <c r="E154" s="21">
        <f t="shared" si="33"/>
        <v>0</v>
      </c>
      <c r="F154" s="45"/>
      <c r="G154" s="46"/>
      <c r="H154" s="46"/>
      <c r="I154" s="46"/>
      <c r="J154" s="46"/>
    </row>
    <row r="155" spans="1:13" ht="12.75" outlineLevel="1" x14ac:dyDescent="0.2">
      <c r="A155" s="2"/>
      <c r="B155" s="2">
        <v>5</v>
      </c>
      <c r="C155" s="22" t="s">
        <v>128</v>
      </c>
      <c r="D155" s="12" t="b">
        <v>0</v>
      </c>
      <c r="E155" s="21">
        <f t="shared" si="33"/>
        <v>0</v>
      </c>
      <c r="F155" s="45"/>
      <c r="G155" s="46"/>
      <c r="H155" s="46"/>
      <c r="I155" s="46"/>
      <c r="J155" s="46"/>
    </row>
    <row r="156" spans="1:13" ht="12.75" outlineLevel="1" x14ac:dyDescent="0.2">
      <c r="C156" s="24"/>
      <c r="D156" s="43"/>
      <c r="F156" s="3"/>
      <c r="G156" s="3"/>
      <c r="H156" s="3"/>
      <c r="I156" s="3"/>
      <c r="J156" s="3"/>
    </row>
    <row r="157" spans="1:13" ht="12.75" outlineLevel="1" x14ac:dyDescent="0.2">
      <c r="C157" s="25" t="s">
        <v>129</v>
      </c>
      <c r="D157" s="14" t="s">
        <v>12</v>
      </c>
      <c r="F157" s="21">
        <f>SUM(E158:E161)</f>
        <v>2</v>
      </c>
      <c r="G157" s="16">
        <v>2</v>
      </c>
      <c r="H157" s="17">
        <v>3</v>
      </c>
      <c r="I157" s="18">
        <v>4</v>
      </c>
      <c r="J157" s="19">
        <v>5</v>
      </c>
    </row>
    <row r="158" spans="1:13" ht="25.5" outlineLevel="1" x14ac:dyDescent="0.2">
      <c r="A158" s="2"/>
      <c r="B158" s="2">
        <v>2</v>
      </c>
      <c r="C158" s="22" t="s">
        <v>130</v>
      </c>
      <c r="D158" s="42" t="b">
        <v>1</v>
      </c>
      <c r="E158" s="21">
        <f t="shared" ref="E158:E161" si="34">IF(D158,B158,0)</f>
        <v>2</v>
      </c>
      <c r="F158" s="47"/>
      <c r="G158" s="46"/>
      <c r="H158" s="46"/>
      <c r="I158" s="46"/>
      <c r="J158" s="46"/>
    </row>
    <row r="159" spans="1:13" ht="38.25" outlineLevel="1" x14ac:dyDescent="0.2">
      <c r="A159" s="2"/>
      <c r="B159" s="2">
        <v>3</v>
      </c>
      <c r="C159" s="22" t="s">
        <v>131</v>
      </c>
      <c r="D159" s="12" t="b">
        <v>0</v>
      </c>
      <c r="E159" s="21">
        <f t="shared" si="34"/>
        <v>0</v>
      </c>
      <c r="F159" s="45"/>
      <c r="G159" s="46"/>
      <c r="H159" s="46"/>
      <c r="I159" s="46"/>
      <c r="J159" s="46"/>
    </row>
    <row r="160" spans="1:13" ht="25.5" outlineLevel="1" x14ac:dyDescent="0.2">
      <c r="A160" s="2"/>
      <c r="B160" s="2">
        <v>4</v>
      </c>
      <c r="C160" s="22" t="s">
        <v>132</v>
      </c>
      <c r="D160" s="12" t="b">
        <v>0</v>
      </c>
      <c r="E160" s="21">
        <f t="shared" si="34"/>
        <v>0</v>
      </c>
      <c r="F160" s="45"/>
      <c r="G160" s="46"/>
      <c r="H160" s="46"/>
      <c r="I160" s="46"/>
      <c r="J160" s="46"/>
    </row>
    <row r="161" spans="1:28" ht="25.5" outlineLevel="1" x14ac:dyDescent="0.2">
      <c r="A161" s="2"/>
      <c r="B161" s="2">
        <v>5</v>
      </c>
      <c r="C161" s="22" t="s">
        <v>133</v>
      </c>
      <c r="D161" s="12" t="b">
        <v>0</v>
      </c>
      <c r="E161" s="21">
        <f t="shared" si="34"/>
        <v>0</v>
      </c>
      <c r="F161" s="45"/>
      <c r="G161" s="46"/>
      <c r="H161" s="46"/>
      <c r="I161" s="46"/>
      <c r="J161" s="46"/>
    </row>
    <row r="162" spans="1:28" ht="12.75" outlineLevel="1" x14ac:dyDescent="0.2">
      <c r="C162" s="24"/>
      <c r="D162" s="43"/>
      <c r="F162" s="3"/>
      <c r="G162" s="3"/>
      <c r="H162" s="3"/>
      <c r="I162" s="3"/>
      <c r="J162" s="3"/>
    </row>
    <row r="163" spans="1:28" ht="12.75" outlineLevel="1" x14ac:dyDescent="0.2">
      <c r="C163" s="25" t="s">
        <v>134</v>
      </c>
      <c r="D163" s="14" t="s">
        <v>12</v>
      </c>
      <c r="F163" s="21">
        <f>SUM(E164:E167)</f>
        <v>5</v>
      </c>
      <c r="G163" s="16">
        <v>2</v>
      </c>
      <c r="H163" s="17">
        <v>3</v>
      </c>
      <c r="I163" s="18">
        <v>4</v>
      </c>
      <c r="J163" s="19">
        <v>5</v>
      </c>
    </row>
    <row r="164" spans="1:28" ht="12.75" outlineLevel="1" x14ac:dyDescent="0.2">
      <c r="A164" s="2"/>
      <c r="B164" s="2">
        <v>2</v>
      </c>
      <c r="C164" s="24" t="s">
        <v>135</v>
      </c>
      <c r="D164" s="42" t="b">
        <v>1</v>
      </c>
      <c r="E164" s="21">
        <f t="shared" ref="E164:E167" si="35">IF(D164,B164,0)</f>
        <v>2</v>
      </c>
      <c r="F164" s="47"/>
      <c r="G164" s="46"/>
      <c r="H164" s="46"/>
      <c r="I164" s="46"/>
      <c r="J164" s="46"/>
    </row>
    <row r="165" spans="1:28" ht="25.5" outlineLevel="1" x14ac:dyDescent="0.2">
      <c r="A165" s="2"/>
      <c r="B165" s="2">
        <v>3</v>
      </c>
      <c r="C165" s="24" t="s">
        <v>136</v>
      </c>
      <c r="D165" s="12" t="b">
        <v>1</v>
      </c>
      <c r="E165" s="21">
        <f t="shared" si="35"/>
        <v>3</v>
      </c>
      <c r="F165" s="45"/>
      <c r="G165" s="46"/>
      <c r="H165" s="46"/>
      <c r="I165" s="46"/>
      <c r="J165" s="46"/>
    </row>
    <row r="166" spans="1:28" ht="25.5" outlineLevel="1" x14ac:dyDescent="0.2">
      <c r="A166" s="2"/>
      <c r="B166" s="2">
        <v>4</v>
      </c>
      <c r="C166" s="24" t="s">
        <v>137</v>
      </c>
      <c r="D166" s="12" t="b">
        <v>0</v>
      </c>
      <c r="E166" s="21">
        <f t="shared" si="35"/>
        <v>0</v>
      </c>
      <c r="F166" s="45"/>
      <c r="G166" s="46"/>
      <c r="H166" s="46"/>
      <c r="I166" s="46"/>
      <c r="J166" s="46"/>
    </row>
    <row r="167" spans="1:28" ht="25.5" outlineLevel="1" x14ac:dyDescent="0.2">
      <c r="A167" s="2"/>
      <c r="B167" s="2">
        <v>5</v>
      </c>
      <c r="C167" s="24" t="s">
        <v>138</v>
      </c>
      <c r="D167" s="12" t="b">
        <v>0</v>
      </c>
      <c r="E167" s="21">
        <f t="shared" si="35"/>
        <v>0</v>
      </c>
      <c r="F167" s="45"/>
      <c r="G167" s="46"/>
      <c r="H167" s="46"/>
      <c r="I167" s="46"/>
      <c r="J167" s="46"/>
    </row>
    <row r="168" spans="1:28" ht="12.75" outlineLevel="1" x14ac:dyDescent="0.2">
      <c r="C168" s="24"/>
      <c r="D168" s="43"/>
      <c r="F168" s="3"/>
      <c r="G168" s="3"/>
      <c r="H168" s="3"/>
      <c r="I168" s="3"/>
      <c r="J168" s="3"/>
    </row>
    <row r="169" spans="1:28" ht="12.75" outlineLevel="1" x14ac:dyDescent="0.2">
      <c r="A169" s="26"/>
      <c r="B169" s="26"/>
      <c r="C169" s="36" t="s">
        <v>139</v>
      </c>
      <c r="D169" s="44"/>
      <c r="E169" s="26"/>
      <c r="F169" s="21">
        <f>SUM(E170:E173)</f>
        <v>5</v>
      </c>
      <c r="G169" s="16">
        <v>2</v>
      </c>
      <c r="H169" s="17">
        <v>3</v>
      </c>
      <c r="I169" s="18">
        <v>4</v>
      </c>
      <c r="J169" s="19">
        <v>5</v>
      </c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 ht="12.75" outlineLevel="1" x14ac:dyDescent="0.2">
      <c r="A170" s="26"/>
      <c r="B170" s="28">
        <v>2</v>
      </c>
      <c r="C170" s="37" t="s">
        <v>140</v>
      </c>
      <c r="D170" s="38" t="b">
        <v>1</v>
      </c>
      <c r="E170" s="30">
        <f t="shared" ref="E170:E173" si="36">IF(D170,B170,0)</f>
        <v>2</v>
      </c>
      <c r="F170" s="47"/>
      <c r="G170" s="46"/>
      <c r="H170" s="46"/>
      <c r="I170" s="46"/>
      <c r="J170" s="4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 ht="25.5" outlineLevel="1" x14ac:dyDescent="0.2">
      <c r="A171" s="26"/>
      <c r="B171" s="28">
        <v>3</v>
      </c>
      <c r="C171" s="37" t="s">
        <v>141</v>
      </c>
      <c r="D171" s="31" t="b">
        <v>1</v>
      </c>
      <c r="E171" s="30">
        <f t="shared" si="36"/>
        <v>3</v>
      </c>
      <c r="F171" s="45"/>
      <c r="G171" s="46"/>
      <c r="H171" s="46"/>
      <c r="I171" s="46"/>
      <c r="J171" s="4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 ht="25.5" outlineLevel="1" x14ac:dyDescent="0.2">
      <c r="A172" s="26"/>
      <c r="B172" s="28">
        <v>4</v>
      </c>
      <c r="C172" s="37" t="s">
        <v>142</v>
      </c>
      <c r="D172" s="31" t="b">
        <v>0</v>
      </c>
      <c r="E172" s="30">
        <f t="shared" si="36"/>
        <v>0</v>
      </c>
      <c r="F172" s="45"/>
      <c r="G172" s="46"/>
      <c r="H172" s="46"/>
      <c r="I172" s="46"/>
      <c r="J172" s="4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 ht="38.25" outlineLevel="1" x14ac:dyDescent="0.2">
      <c r="A173" s="26"/>
      <c r="B173" s="28">
        <v>5</v>
      </c>
      <c r="C173" s="37" t="s">
        <v>143</v>
      </c>
      <c r="D173" s="31" t="b">
        <v>0</v>
      </c>
      <c r="E173" s="30">
        <f t="shared" si="36"/>
        <v>0</v>
      </c>
      <c r="F173" s="45"/>
      <c r="G173" s="46"/>
      <c r="H173" s="46"/>
      <c r="I173" s="46"/>
      <c r="J173" s="4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 ht="12.75" outlineLevel="1" x14ac:dyDescent="0.2">
      <c r="C174" s="24"/>
      <c r="D174" s="43"/>
      <c r="F174" s="3"/>
      <c r="G174" s="3"/>
      <c r="H174" s="3"/>
      <c r="I174" s="3"/>
      <c r="J174" s="3"/>
    </row>
    <row r="175" spans="1:28" ht="12.75" outlineLevel="1" x14ac:dyDescent="0.2">
      <c r="B175" s="26"/>
      <c r="C175" s="39" t="s">
        <v>144</v>
      </c>
      <c r="D175" s="44"/>
      <c r="E175" s="26"/>
      <c r="F175" s="21">
        <f>SUM(E176:E179)</f>
        <v>5</v>
      </c>
      <c r="G175" s="16">
        <v>2</v>
      </c>
      <c r="H175" s="17">
        <v>3</v>
      </c>
      <c r="I175" s="18">
        <v>4</v>
      </c>
      <c r="J175" s="19">
        <v>5</v>
      </c>
    </row>
    <row r="176" spans="1:28" ht="25.5" outlineLevel="1" x14ac:dyDescent="0.2">
      <c r="B176" s="28">
        <v>2</v>
      </c>
      <c r="C176" s="40" t="s">
        <v>145</v>
      </c>
      <c r="D176" s="38" t="b">
        <v>1</v>
      </c>
      <c r="E176" s="30">
        <f t="shared" ref="E176:E179" si="37">IF(D176,B176,0)</f>
        <v>2</v>
      </c>
      <c r="F176" s="47"/>
      <c r="G176" s="46"/>
      <c r="H176" s="46"/>
      <c r="I176" s="46"/>
      <c r="J176" s="46"/>
    </row>
    <row r="177" spans="1:13" ht="25.5" outlineLevel="1" x14ac:dyDescent="0.2">
      <c r="B177" s="28">
        <v>3</v>
      </c>
      <c r="C177" s="40" t="s">
        <v>146</v>
      </c>
      <c r="D177" s="31" t="b">
        <v>1</v>
      </c>
      <c r="E177" s="30">
        <f t="shared" si="37"/>
        <v>3</v>
      </c>
      <c r="F177" s="45"/>
      <c r="G177" s="46"/>
      <c r="H177" s="46"/>
      <c r="I177" s="46"/>
      <c r="J177" s="46"/>
    </row>
    <row r="178" spans="1:13" ht="38.25" outlineLevel="1" x14ac:dyDescent="0.2">
      <c r="B178" s="28">
        <v>4</v>
      </c>
      <c r="C178" s="40" t="s">
        <v>147</v>
      </c>
      <c r="D178" s="31" t="b">
        <v>0</v>
      </c>
      <c r="E178" s="30">
        <f t="shared" si="37"/>
        <v>0</v>
      </c>
      <c r="F178" s="45"/>
      <c r="G178" s="46"/>
      <c r="H178" s="46"/>
      <c r="I178" s="46"/>
      <c r="J178" s="46"/>
    </row>
    <row r="179" spans="1:13" ht="38.25" outlineLevel="1" x14ac:dyDescent="0.2">
      <c r="B179" s="28">
        <v>5</v>
      </c>
      <c r="C179" s="40" t="s">
        <v>148</v>
      </c>
      <c r="D179" s="31" t="b">
        <v>0</v>
      </c>
      <c r="E179" s="30">
        <f t="shared" si="37"/>
        <v>0</v>
      </c>
      <c r="F179" s="45"/>
      <c r="G179" s="46"/>
      <c r="H179" s="46"/>
      <c r="I179" s="46"/>
      <c r="J179" s="46"/>
    </row>
    <row r="180" spans="1:13" ht="12.75" outlineLevel="1" x14ac:dyDescent="0.2">
      <c r="C180" s="24"/>
      <c r="D180" s="43"/>
      <c r="F180" s="3"/>
      <c r="G180" s="3"/>
      <c r="H180" s="3"/>
      <c r="I180" s="3"/>
      <c r="J180" s="3"/>
    </row>
    <row r="181" spans="1:13" ht="12.75" outlineLevel="1" x14ac:dyDescent="0.2">
      <c r="B181" s="26"/>
      <c r="C181" s="39" t="s">
        <v>149</v>
      </c>
      <c r="D181" s="44"/>
      <c r="E181" s="26"/>
      <c r="F181" s="21">
        <f>SUM(E182:E185)</f>
        <v>5</v>
      </c>
      <c r="G181" s="16">
        <v>2</v>
      </c>
      <c r="H181" s="17">
        <v>3</v>
      </c>
      <c r="I181" s="18">
        <v>4</v>
      </c>
      <c r="J181" s="19">
        <v>5</v>
      </c>
    </row>
    <row r="182" spans="1:13" ht="25.5" outlineLevel="1" x14ac:dyDescent="0.2">
      <c r="B182" s="28">
        <v>2</v>
      </c>
      <c r="C182" s="40" t="s">
        <v>150</v>
      </c>
      <c r="D182" s="38" t="b">
        <v>1</v>
      </c>
      <c r="E182" s="30">
        <f t="shared" ref="E182:E185" si="38">IF(D182,B182,0)</f>
        <v>2</v>
      </c>
      <c r="F182" s="47"/>
      <c r="G182" s="46"/>
      <c r="H182" s="46"/>
      <c r="I182" s="46"/>
      <c r="J182" s="46"/>
    </row>
    <row r="183" spans="1:13" ht="25.5" outlineLevel="1" x14ac:dyDescent="0.2">
      <c r="B183" s="28">
        <v>3</v>
      </c>
      <c r="C183" s="40" t="s">
        <v>151</v>
      </c>
      <c r="D183" s="31" t="b">
        <v>1</v>
      </c>
      <c r="E183" s="30">
        <f t="shared" si="38"/>
        <v>3</v>
      </c>
      <c r="F183" s="45"/>
      <c r="G183" s="46"/>
      <c r="H183" s="46"/>
      <c r="I183" s="46"/>
      <c r="J183" s="46"/>
    </row>
    <row r="184" spans="1:13" ht="25.5" outlineLevel="1" x14ac:dyDescent="0.2">
      <c r="B184" s="28">
        <v>4</v>
      </c>
      <c r="C184" s="40" t="s">
        <v>152</v>
      </c>
      <c r="D184" s="31" t="b">
        <v>0</v>
      </c>
      <c r="E184" s="30">
        <f t="shared" si="38"/>
        <v>0</v>
      </c>
      <c r="F184" s="45"/>
      <c r="G184" s="46"/>
      <c r="H184" s="46"/>
      <c r="I184" s="46"/>
      <c r="J184" s="46"/>
    </row>
    <row r="185" spans="1:13" ht="38.25" outlineLevel="1" x14ac:dyDescent="0.2">
      <c r="B185" s="28">
        <v>5</v>
      </c>
      <c r="C185" s="40" t="s">
        <v>153</v>
      </c>
      <c r="D185" s="31" t="b">
        <v>0</v>
      </c>
      <c r="E185" s="30">
        <f t="shared" si="38"/>
        <v>0</v>
      </c>
      <c r="F185" s="45"/>
      <c r="G185" s="46"/>
      <c r="H185" s="46"/>
      <c r="I185" s="46"/>
      <c r="J185" s="46"/>
    </row>
    <row r="186" spans="1:13" ht="12.75" x14ac:dyDescent="0.2">
      <c r="C186" s="24"/>
      <c r="D186" s="43"/>
      <c r="F186" s="3"/>
      <c r="G186" s="3"/>
      <c r="H186" s="3"/>
      <c r="I186" s="3"/>
      <c r="J186" s="3"/>
    </row>
    <row r="187" spans="1:13" x14ac:dyDescent="0.2">
      <c r="C187" s="13" t="s">
        <v>25</v>
      </c>
      <c r="D187" s="14" t="s">
        <v>12</v>
      </c>
      <c r="F187" s="15">
        <f>AVERAGE(F189:F199)</f>
        <v>2</v>
      </c>
      <c r="G187" s="16">
        <v>2</v>
      </c>
      <c r="H187" s="17">
        <v>3</v>
      </c>
      <c r="I187" s="18">
        <v>4</v>
      </c>
      <c r="J187" s="19">
        <v>5</v>
      </c>
      <c r="M187" s="20">
        <f>IF($G$4,G187,IF($H$4,H187,IF($I$4,I187,IF($J$4,J187,0))))</f>
        <v>2</v>
      </c>
    </row>
    <row r="188" spans="1:13" ht="12.75" outlineLevel="1" x14ac:dyDescent="0.2">
      <c r="C188" s="24"/>
      <c r="D188" s="43"/>
      <c r="F188" s="3"/>
      <c r="G188" s="3"/>
      <c r="H188" s="3"/>
      <c r="I188" s="3"/>
      <c r="J188" s="3"/>
    </row>
    <row r="189" spans="1:13" ht="12.75" outlineLevel="1" x14ac:dyDescent="0.2">
      <c r="C189" s="25" t="s">
        <v>154</v>
      </c>
      <c r="D189" s="43"/>
      <c r="F189" s="21">
        <f>SUM(E190:E193)</f>
        <v>2</v>
      </c>
      <c r="G189" s="16">
        <v>2</v>
      </c>
      <c r="H189" s="17">
        <v>3</v>
      </c>
      <c r="I189" s="18">
        <v>4</v>
      </c>
      <c r="J189" s="19">
        <v>5</v>
      </c>
    </row>
    <row r="190" spans="1:13" ht="12.75" outlineLevel="1" x14ac:dyDescent="0.2">
      <c r="A190" s="2"/>
      <c r="B190" s="2">
        <v>2</v>
      </c>
      <c r="C190" s="24" t="s">
        <v>155</v>
      </c>
      <c r="D190" s="42" t="b">
        <v>1</v>
      </c>
      <c r="E190" s="21">
        <f t="shared" ref="E190:E193" si="39">IF(D190,B190,0)</f>
        <v>2</v>
      </c>
      <c r="F190" s="47"/>
      <c r="G190" s="46"/>
      <c r="H190" s="46"/>
      <c r="I190" s="46"/>
      <c r="J190" s="46"/>
    </row>
    <row r="191" spans="1:13" ht="25.5" outlineLevel="1" x14ac:dyDescent="0.2">
      <c r="A191" s="2"/>
      <c r="B191" s="2">
        <v>3</v>
      </c>
      <c r="C191" s="24" t="s">
        <v>156</v>
      </c>
      <c r="D191" s="42" t="b">
        <v>0</v>
      </c>
      <c r="E191" s="21">
        <f t="shared" si="39"/>
        <v>0</v>
      </c>
      <c r="F191" s="45"/>
      <c r="G191" s="46"/>
      <c r="H191" s="46"/>
      <c r="I191" s="46"/>
      <c r="J191" s="46"/>
    </row>
    <row r="192" spans="1:13" ht="25.5" outlineLevel="1" x14ac:dyDescent="0.2">
      <c r="A192" s="2"/>
      <c r="B192" s="2">
        <v>4</v>
      </c>
      <c r="C192" s="24" t="s">
        <v>157</v>
      </c>
      <c r="D192" s="42" t="b">
        <v>0</v>
      </c>
      <c r="E192" s="21">
        <f t="shared" si="39"/>
        <v>0</v>
      </c>
      <c r="F192" s="45"/>
      <c r="G192" s="46"/>
      <c r="H192" s="46"/>
      <c r="I192" s="46"/>
      <c r="J192" s="46"/>
    </row>
    <row r="193" spans="1:13" ht="25.5" outlineLevel="1" x14ac:dyDescent="0.2">
      <c r="A193" s="2"/>
      <c r="B193" s="2">
        <v>5</v>
      </c>
      <c r="C193" s="24" t="s">
        <v>158</v>
      </c>
      <c r="D193" s="42" t="b">
        <v>0</v>
      </c>
      <c r="E193" s="21">
        <f t="shared" si="39"/>
        <v>0</v>
      </c>
      <c r="F193" s="45"/>
      <c r="G193" s="46"/>
      <c r="H193" s="46"/>
      <c r="I193" s="46"/>
      <c r="J193" s="46"/>
    </row>
    <row r="194" spans="1:13" ht="12.75" outlineLevel="1" x14ac:dyDescent="0.2">
      <c r="C194" s="24"/>
      <c r="D194" s="43"/>
      <c r="F194" s="3"/>
      <c r="G194" s="3"/>
      <c r="H194" s="3"/>
      <c r="I194" s="3"/>
      <c r="J194" s="3"/>
    </row>
    <row r="195" spans="1:13" ht="12.75" outlineLevel="1" x14ac:dyDescent="0.2">
      <c r="C195" s="32" t="s">
        <v>159</v>
      </c>
      <c r="D195" s="43"/>
      <c r="F195" s="21">
        <f>SUM(E196:E199)</f>
        <v>2</v>
      </c>
      <c r="G195" s="16">
        <v>2</v>
      </c>
      <c r="H195" s="17">
        <v>3</v>
      </c>
      <c r="I195" s="18">
        <v>4</v>
      </c>
      <c r="J195" s="19">
        <v>5</v>
      </c>
    </row>
    <row r="196" spans="1:13" ht="12.75" outlineLevel="1" x14ac:dyDescent="0.2">
      <c r="A196" s="2"/>
      <c r="B196" s="2">
        <v>2</v>
      </c>
      <c r="C196" s="24" t="s">
        <v>160</v>
      </c>
      <c r="D196" s="42" t="b">
        <v>1</v>
      </c>
      <c r="E196" s="21">
        <f t="shared" ref="E196:E199" si="40">IF(D196,B196,0)</f>
        <v>2</v>
      </c>
      <c r="F196" s="47"/>
      <c r="G196" s="46"/>
      <c r="H196" s="46"/>
      <c r="I196" s="46"/>
      <c r="J196" s="46"/>
    </row>
    <row r="197" spans="1:13" ht="25.5" outlineLevel="1" x14ac:dyDescent="0.2">
      <c r="A197" s="2"/>
      <c r="B197" s="2">
        <v>3</v>
      </c>
      <c r="C197" s="24" t="s">
        <v>161</v>
      </c>
      <c r="D197" s="42" t="b">
        <v>0</v>
      </c>
      <c r="E197" s="21">
        <f t="shared" si="40"/>
        <v>0</v>
      </c>
      <c r="F197" s="45"/>
      <c r="G197" s="46"/>
      <c r="H197" s="46"/>
      <c r="I197" s="46"/>
      <c r="J197" s="46"/>
    </row>
    <row r="198" spans="1:13" ht="12.75" outlineLevel="1" x14ac:dyDescent="0.2">
      <c r="A198" s="2"/>
      <c r="B198" s="2">
        <v>4</v>
      </c>
      <c r="C198" s="24" t="s">
        <v>162</v>
      </c>
      <c r="D198" s="42" t="b">
        <v>0</v>
      </c>
      <c r="E198" s="21">
        <f t="shared" si="40"/>
        <v>0</v>
      </c>
      <c r="F198" s="45"/>
      <c r="G198" s="46"/>
      <c r="H198" s="46"/>
      <c r="I198" s="46"/>
      <c r="J198" s="46"/>
    </row>
    <row r="199" spans="1:13" ht="25.5" outlineLevel="1" x14ac:dyDescent="0.2">
      <c r="A199" s="2"/>
      <c r="B199" s="2">
        <v>5</v>
      </c>
      <c r="C199" s="24" t="s">
        <v>163</v>
      </c>
      <c r="D199" s="42" t="b">
        <v>0</v>
      </c>
      <c r="E199" s="21">
        <f t="shared" si="40"/>
        <v>0</v>
      </c>
      <c r="F199" s="45"/>
      <c r="G199" s="46"/>
      <c r="H199" s="46"/>
      <c r="I199" s="46"/>
      <c r="J199" s="46"/>
    </row>
    <row r="200" spans="1:13" ht="12.75" x14ac:dyDescent="0.2">
      <c r="C200" s="24"/>
      <c r="D200" s="43"/>
      <c r="F200" s="3"/>
      <c r="G200" s="3"/>
      <c r="H200" s="3"/>
      <c r="I200" s="3"/>
      <c r="J200" s="3"/>
    </row>
    <row r="201" spans="1:13" x14ac:dyDescent="0.2">
      <c r="C201" s="13" t="s">
        <v>27</v>
      </c>
      <c r="D201" s="14" t="s">
        <v>12</v>
      </c>
      <c r="F201" s="15">
        <f>AVERAGE(F203:F219)</f>
        <v>4</v>
      </c>
      <c r="G201" s="16">
        <v>2</v>
      </c>
      <c r="H201" s="17">
        <v>3</v>
      </c>
      <c r="I201" s="18">
        <v>4</v>
      </c>
      <c r="J201" s="19">
        <v>5</v>
      </c>
      <c r="M201" s="20">
        <f>IF($G$4,G201,IF($H$4,H201,IF($I$4,I201,IF($J$4,J201,0))))</f>
        <v>2</v>
      </c>
    </row>
    <row r="202" spans="1:13" ht="12.75" outlineLevel="1" x14ac:dyDescent="0.2">
      <c r="C202" s="25"/>
      <c r="D202" s="43"/>
      <c r="F202" s="21"/>
      <c r="G202" s="21"/>
      <c r="H202" s="21"/>
      <c r="I202" s="21"/>
      <c r="J202" s="21"/>
    </row>
    <row r="203" spans="1:13" ht="12.75" outlineLevel="1" x14ac:dyDescent="0.2">
      <c r="C203" s="25" t="s">
        <v>164</v>
      </c>
      <c r="D203" s="43"/>
      <c r="F203" s="21">
        <f>SUM(E204:E207)</f>
        <v>2</v>
      </c>
      <c r="G203" s="16">
        <v>2</v>
      </c>
      <c r="H203" s="17">
        <v>3</v>
      </c>
      <c r="I203" s="18">
        <v>4</v>
      </c>
      <c r="J203" s="19">
        <v>5</v>
      </c>
    </row>
    <row r="204" spans="1:13" ht="12.75" outlineLevel="1" x14ac:dyDescent="0.2">
      <c r="A204" s="2"/>
      <c r="B204" s="2">
        <v>2</v>
      </c>
      <c r="C204" s="22" t="s">
        <v>165</v>
      </c>
      <c r="D204" s="42" t="b">
        <v>1</v>
      </c>
      <c r="E204" s="21">
        <f t="shared" ref="E204:E207" si="41">IF(D204,B204,0)</f>
        <v>2</v>
      </c>
      <c r="F204" s="47"/>
      <c r="G204" s="46"/>
      <c r="H204" s="46"/>
      <c r="I204" s="46"/>
      <c r="J204" s="46"/>
    </row>
    <row r="205" spans="1:13" ht="25.5" outlineLevel="1" x14ac:dyDescent="0.2">
      <c r="A205" s="2"/>
      <c r="B205" s="2">
        <v>3</v>
      </c>
      <c r="C205" s="22" t="s">
        <v>166</v>
      </c>
      <c r="D205" s="42" t="b">
        <v>0</v>
      </c>
      <c r="E205" s="21">
        <f t="shared" si="41"/>
        <v>0</v>
      </c>
      <c r="F205" s="45"/>
      <c r="G205" s="46"/>
      <c r="H205" s="46"/>
      <c r="I205" s="46"/>
      <c r="J205" s="46"/>
    </row>
    <row r="206" spans="1:13" ht="38.25" outlineLevel="1" x14ac:dyDescent="0.2">
      <c r="A206" s="2"/>
      <c r="B206" s="2">
        <v>4</v>
      </c>
      <c r="C206" s="24" t="s">
        <v>167</v>
      </c>
      <c r="D206" s="42" t="b">
        <v>0</v>
      </c>
      <c r="E206" s="21">
        <f t="shared" si="41"/>
        <v>0</v>
      </c>
      <c r="F206" s="45"/>
      <c r="G206" s="46"/>
      <c r="H206" s="46"/>
      <c r="I206" s="46"/>
      <c r="J206" s="46"/>
    </row>
    <row r="207" spans="1:13" ht="25.5" outlineLevel="1" x14ac:dyDescent="0.2">
      <c r="A207" s="2"/>
      <c r="B207" s="2">
        <v>5</v>
      </c>
      <c r="C207" s="24" t="s">
        <v>168</v>
      </c>
      <c r="D207" s="42" t="b">
        <v>0</v>
      </c>
      <c r="E207" s="21">
        <f t="shared" si="41"/>
        <v>0</v>
      </c>
      <c r="F207" s="45"/>
      <c r="G207" s="46"/>
      <c r="H207" s="46"/>
      <c r="I207" s="46"/>
      <c r="J207" s="46"/>
    </row>
    <row r="208" spans="1:13" ht="12.75" outlineLevel="1" x14ac:dyDescent="0.2">
      <c r="C208" s="24"/>
      <c r="D208" s="43"/>
      <c r="F208" s="3"/>
      <c r="G208" s="3"/>
      <c r="H208" s="3"/>
      <c r="I208" s="3"/>
      <c r="J208" s="3"/>
    </row>
    <row r="209" spans="2:10" ht="12.75" outlineLevel="1" x14ac:dyDescent="0.2">
      <c r="C209" s="25" t="s">
        <v>169</v>
      </c>
      <c r="D209" s="43"/>
      <c r="F209" s="21">
        <f>SUM(E210:E213)</f>
        <v>5</v>
      </c>
      <c r="G209" s="16">
        <v>2</v>
      </c>
      <c r="H209" s="17">
        <v>3</v>
      </c>
      <c r="I209" s="18">
        <v>4</v>
      </c>
      <c r="J209" s="19">
        <v>5</v>
      </c>
    </row>
    <row r="210" spans="2:10" ht="12.75" outlineLevel="1" x14ac:dyDescent="0.2">
      <c r="B210" s="2">
        <v>2</v>
      </c>
      <c r="C210" s="22" t="s">
        <v>170</v>
      </c>
      <c r="D210" s="42" t="b">
        <v>1</v>
      </c>
      <c r="E210" s="21">
        <f t="shared" ref="E210:E213" si="42">IF(D210,B210,0)</f>
        <v>2</v>
      </c>
      <c r="F210" s="47"/>
      <c r="G210" s="46"/>
      <c r="H210" s="46"/>
      <c r="I210" s="46"/>
      <c r="J210" s="46"/>
    </row>
    <row r="211" spans="2:10" ht="12.75" outlineLevel="1" x14ac:dyDescent="0.2">
      <c r="B211" s="2">
        <v>3</v>
      </c>
      <c r="C211" s="22" t="s">
        <v>171</v>
      </c>
      <c r="D211" s="42" t="b">
        <v>1</v>
      </c>
      <c r="E211" s="21">
        <f t="shared" si="42"/>
        <v>3</v>
      </c>
      <c r="F211" s="45"/>
      <c r="G211" s="46"/>
      <c r="H211" s="46"/>
      <c r="I211" s="46"/>
      <c r="J211" s="46"/>
    </row>
    <row r="212" spans="2:10" ht="38.25" outlineLevel="1" x14ac:dyDescent="0.2">
      <c r="B212" s="2">
        <v>4</v>
      </c>
      <c r="C212" s="22" t="s">
        <v>172</v>
      </c>
      <c r="D212" s="42" t="b">
        <v>0</v>
      </c>
      <c r="E212" s="21">
        <f t="shared" si="42"/>
        <v>0</v>
      </c>
      <c r="F212" s="45"/>
      <c r="G212" s="46"/>
      <c r="H212" s="46"/>
      <c r="I212" s="46"/>
      <c r="J212" s="46"/>
    </row>
    <row r="213" spans="2:10" ht="38.25" outlineLevel="1" x14ac:dyDescent="0.2">
      <c r="B213" s="2">
        <v>5</v>
      </c>
      <c r="C213" s="22" t="s">
        <v>173</v>
      </c>
      <c r="D213" s="42" t="b">
        <v>0</v>
      </c>
      <c r="E213" s="21">
        <f t="shared" si="42"/>
        <v>0</v>
      </c>
      <c r="F213" s="45"/>
      <c r="G213" s="46"/>
      <c r="H213" s="46"/>
      <c r="I213" s="46"/>
      <c r="J213" s="46"/>
    </row>
    <row r="214" spans="2:10" ht="12.75" outlineLevel="1" x14ac:dyDescent="0.2">
      <c r="D214" s="43"/>
      <c r="F214" s="3"/>
      <c r="G214" s="3"/>
      <c r="H214" s="3"/>
      <c r="I214" s="3"/>
      <c r="J214" s="3"/>
    </row>
    <row r="215" spans="2:10" ht="12.75" outlineLevel="1" x14ac:dyDescent="0.2">
      <c r="C215" s="25" t="s">
        <v>174</v>
      </c>
      <c r="D215" s="43"/>
      <c r="F215" s="21">
        <f>SUM(E216:E219)</f>
        <v>5</v>
      </c>
      <c r="G215" s="16">
        <v>2</v>
      </c>
      <c r="H215" s="17">
        <v>3</v>
      </c>
      <c r="I215" s="18">
        <v>4</v>
      </c>
      <c r="J215" s="19">
        <v>5</v>
      </c>
    </row>
    <row r="216" spans="2:10" ht="38.25" outlineLevel="1" x14ac:dyDescent="0.2">
      <c r="B216" s="2">
        <v>2</v>
      </c>
      <c r="C216" s="22" t="s">
        <v>175</v>
      </c>
      <c r="D216" s="42" t="b">
        <v>1</v>
      </c>
      <c r="E216" s="21">
        <f t="shared" ref="E216:E219" si="43">IF(D216,B216,0)</f>
        <v>2</v>
      </c>
      <c r="F216" s="47"/>
      <c r="G216" s="46"/>
      <c r="H216" s="46"/>
      <c r="I216" s="46"/>
      <c r="J216" s="46"/>
    </row>
    <row r="217" spans="2:10" ht="25.5" outlineLevel="1" x14ac:dyDescent="0.2">
      <c r="B217" s="2">
        <v>3</v>
      </c>
      <c r="C217" s="22" t="s">
        <v>176</v>
      </c>
      <c r="D217" s="42" t="b">
        <v>1</v>
      </c>
      <c r="E217" s="21">
        <f t="shared" si="43"/>
        <v>3</v>
      </c>
      <c r="F217" s="45"/>
      <c r="G217" s="46"/>
      <c r="H217" s="46"/>
      <c r="I217" s="46"/>
      <c r="J217" s="46"/>
    </row>
    <row r="218" spans="2:10" ht="25.5" outlineLevel="1" x14ac:dyDescent="0.2">
      <c r="B218" s="2">
        <v>4</v>
      </c>
      <c r="C218" s="22" t="s">
        <v>177</v>
      </c>
      <c r="D218" s="42" t="b">
        <v>0</v>
      </c>
      <c r="E218" s="21">
        <f t="shared" si="43"/>
        <v>0</v>
      </c>
      <c r="F218" s="45"/>
      <c r="G218" s="46"/>
      <c r="H218" s="46"/>
      <c r="I218" s="46"/>
      <c r="J218" s="46"/>
    </row>
    <row r="219" spans="2:10" ht="38.25" outlineLevel="1" x14ac:dyDescent="0.2">
      <c r="B219" s="2">
        <v>5</v>
      </c>
      <c r="C219" s="22" t="s">
        <v>178</v>
      </c>
      <c r="D219" s="42" t="b">
        <v>0</v>
      </c>
      <c r="E219" s="21">
        <f t="shared" si="43"/>
        <v>0</v>
      </c>
      <c r="F219" s="45"/>
      <c r="G219" s="46"/>
      <c r="H219" s="46"/>
      <c r="I219" s="46"/>
      <c r="J219" s="46"/>
    </row>
    <row r="220" spans="2:10" ht="12.75" x14ac:dyDescent="0.2">
      <c r="F220" s="3"/>
      <c r="G220" s="3"/>
      <c r="H220" s="3"/>
      <c r="I220" s="3"/>
      <c r="J220" s="3"/>
    </row>
    <row r="221" spans="2:10" ht="12.75" x14ac:dyDescent="0.2">
      <c r="F221" s="3"/>
      <c r="G221" s="3"/>
      <c r="H221" s="3"/>
      <c r="I221" s="3"/>
      <c r="J221" s="3"/>
    </row>
    <row r="222" spans="2:10" ht="76.5" x14ac:dyDescent="0.2">
      <c r="C222" s="4" t="s">
        <v>179</v>
      </c>
      <c r="F222" s="3"/>
      <c r="G222" s="3"/>
      <c r="H222" s="3"/>
      <c r="I222" s="3"/>
      <c r="J222" s="3"/>
    </row>
    <row r="223" spans="2:10" ht="12.75" x14ac:dyDescent="0.2">
      <c r="C223" s="7"/>
      <c r="F223" s="3"/>
      <c r="G223" s="3"/>
      <c r="H223" s="3"/>
      <c r="I223" s="3"/>
      <c r="J223" s="3"/>
    </row>
    <row r="224" spans="2:10" ht="12.75" x14ac:dyDescent="0.2">
      <c r="F224" s="3"/>
      <c r="G224" s="3"/>
      <c r="H224" s="3"/>
      <c r="I224" s="3"/>
      <c r="J224" s="3"/>
    </row>
    <row r="225" spans="6:10" ht="12.75" x14ac:dyDescent="0.2">
      <c r="F225" s="3"/>
      <c r="G225" s="3"/>
      <c r="H225" s="3"/>
      <c r="I225" s="3"/>
      <c r="J225" s="3"/>
    </row>
    <row r="226" spans="6:10" ht="12.75" x14ac:dyDescent="0.2">
      <c r="F226" s="3"/>
      <c r="G226" s="3"/>
      <c r="H226" s="3"/>
      <c r="I226" s="3"/>
      <c r="J226" s="3"/>
    </row>
    <row r="227" spans="6:10" ht="12.75" x14ac:dyDescent="0.2">
      <c r="F227" s="3"/>
      <c r="G227" s="3"/>
      <c r="H227" s="3"/>
      <c r="I227" s="3"/>
      <c r="J227" s="3"/>
    </row>
    <row r="228" spans="6:10" ht="12.75" x14ac:dyDescent="0.2">
      <c r="F228" s="3"/>
      <c r="G228" s="3"/>
      <c r="H228" s="3"/>
      <c r="I228" s="3"/>
      <c r="J228" s="3"/>
    </row>
    <row r="229" spans="6:10" ht="12.75" x14ac:dyDescent="0.2">
      <c r="F229" s="3"/>
      <c r="G229" s="3"/>
      <c r="H229" s="3"/>
      <c r="I229" s="3"/>
      <c r="J229" s="3"/>
    </row>
    <row r="230" spans="6:10" ht="12.75" x14ac:dyDescent="0.2">
      <c r="F230" s="3"/>
      <c r="G230" s="3"/>
      <c r="H230" s="3"/>
      <c r="I230" s="3"/>
      <c r="J230" s="3"/>
    </row>
    <row r="231" spans="6:10" ht="12.75" x14ac:dyDescent="0.2">
      <c r="F231" s="3"/>
      <c r="G231" s="3"/>
      <c r="H231" s="3"/>
      <c r="I231" s="3"/>
      <c r="J231" s="3"/>
    </row>
    <row r="232" spans="6:10" ht="12.75" x14ac:dyDescent="0.2">
      <c r="F232" s="3"/>
      <c r="G232" s="3"/>
      <c r="H232" s="3"/>
      <c r="I232" s="3"/>
      <c r="J232" s="3"/>
    </row>
    <row r="233" spans="6:10" ht="12.75" x14ac:dyDescent="0.2">
      <c r="F233" s="3"/>
      <c r="G233" s="3"/>
      <c r="H233" s="3"/>
      <c r="I233" s="3"/>
      <c r="J233" s="3"/>
    </row>
    <row r="234" spans="6:10" ht="12.75" x14ac:dyDescent="0.2">
      <c r="F234" s="3"/>
      <c r="G234" s="3"/>
      <c r="H234" s="3"/>
      <c r="I234" s="3"/>
      <c r="J234" s="3"/>
    </row>
    <row r="235" spans="6:10" ht="12.75" x14ac:dyDescent="0.2">
      <c r="F235" s="3"/>
      <c r="G235" s="3"/>
      <c r="H235" s="3"/>
      <c r="I235" s="3"/>
      <c r="J235" s="3"/>
    </row>
    <row r="236" spans="6:10" ht="12.75" x14ac:dyDescent="0.2">
      <c r="F236" s="3"/>
      <c r="G236" s="3"/>
      <c r="H236" s="3"/>
      <c r="I236" s="3"/>
      <c r="J236" s="3"/>
    </row>
    <row r="237" spans="6:10" ht="12.75" x14ac:dyDescent="0.2">
      <c r="F237" s="3"/>
      <c r="G237" s="3"/>
      <c r="H237" s="3"/>
      <c r="I237" s="3"/>
      <c r="J237" s="3"/>
    </row>
    <row r="238" spans="6:10" ht="12.75" x14ac:dyDescent="0.2">
      <c r="F238" s="3"/>
      <c r="G238" s="3"/>
      <c r="H238" s="3"/>
      <c r="I238" s="3"/>
      <c r="J238" s="3"/>
    </row>
    <row r="239" spans="6:10" ht="12.75" x14ac:dyDescent="0.2">
      <c r="F239" s="3"/>
      <c r="G239" s="3"/>
      <c r="H239" s="3"/>
      <c r="I239" s="3"/>
      <c r="J239" s="3"/>
    </row>
    <row r="240" spans="6:10" ht="12.75" x14ac:dyDescent="0.2">
      <c r="F240" s="3"/>
      <c r="G240" s="3"/>
      <c r="H240" s="3"/>
      <c r="I240" s="3"/>
      <c r="J240" s="3"/>
    </row>
    <row r="241" spans="6:10" ht="12.75" x14ac:dyDescent="0.2">
      <c r="F241" s="3"/>
      <c r="G241" s="3"/>
      <c r="H241" s="3"/>
      <c r="I241" s="3"/>
      <c r="J241" s="3"/>
    </row>
    <row r="242" spans="6:10" ht="12.75" x14ac:dyDescent="0.2">
      <c r="F242" s="3"/>
      <c r="G242" s="3"/>
      <c r="H242" s="3"/>
      <c r="I242" s="3"/>
      <c r="J242" s="3"/>
    </row>
    <row r="243" spans="6:10" ht="12.75" x14ac:dyDescent="0.2">
      <c r="F243" s="3"/>
      <c r="G243" s="3"/>
      <c r="H243" s="3"/>
      <c r="I243" s="3"/>
      <c r="J243" s="3"/>
    </row>
    <row r="244" spans="6:10" ht="12.75" x14ac:dyDescent="0.2">
      <c r="F244" s="3"/>
      <c r="G244" s="3"/>
      <c r="H244" s="3"/>
      <c r="I244" s="3"/>
      <c r="J244" s="3"/>
    </row>
    <row r="245" spans="6:10" ht="12.75" x14ac:dyDescent="0.2">
      <c r="F245" s="3"/>
      <c r="G245" s="3"/>
      <c r="H245" s="3"/>
      <c r="I245" s="3"/>
      <c r="J245" s="3"/>
    </row>
    <row r="246" spans="6:10" ht="12.75" x14ac:dyDescent="0.2">
      <c r="F246" s="3"/>
      <c r="G246" s="3"/>
      <c r="H246" s="3"/>
      <c r="I246" s="3"/>
      <c r="J246" s="3"/>
    </row>
    <row r="247" spans="6:10" ht="12.75" x14ac:dyDescent="0.2">
      <c r="F247" s="3"/>
      <c r="G247" s="3"/>
      <c r="H247" s="3"/>
      <c r="I247" s="3"/>
      <c r="J247" s="3"/>
    </row>
    <row r="248" spans="6:10" ht="12.75" x14ac:dyDescent="0.2">
      <c r="F248" s="3"/>
      <c r="G248" s="3"/>
      <c r="H248" s="3"/>
      <c r="I248" s="3"/>
      <c r="J248" s="3"/>
    </row>
    <row r="249" spans="6:10" ht="12.75" x14ac:dyDescent="0.2">
      <c r="F249" s="3"/>
      <c r="G249" s="3"/>
      <c r="H249" s="3"/>
      <c r="I249" s="3"/>
      <c r="J249" s="3"/>
    </row>
    <row r="250" spans="6:10" ht="12.75" x14ac:dyDescent="0.2">
      <c r="F250" s="3"/>
      <c r="G250" s="3"/>
      <c r="H250" s="3"/>
      <c r="I250" s="3"/>
      <c r="J250" s="3"/>
    </row>
    <row r="251" spans="6:10" ht="12.75" x14ac:dyDescent="0.2">
      <c r="F251" s="3"/>
      <c r="G251" s="3"/>
      <c r="H251" s="3"/>
      <c r="I251" s="3"/>
      <c r="J251" s="3"/>
    </row>
    <row r="252" spans="6:10" ht="12.75" x14ac:dyDescent="0.2">
      <c r="F252" s="3"/>
      <c r="G252" s="3"/>
      <c r="H252" s="3"/>
      <c r="I252" s="3"/>
      <c r="J252" s="3"/>
    </row>
    <row r="253" spans="6:10" ht="12.75" x14ac:dyDescent="0.2">
      <c r="F253" s="3"/>
      <c r="G253" s="3"/>
      <c r="H253" s="3"/>
      <c r="I253" s="3"/>
      <c r="J253" s="3"/>
    </row>
    <row r="254" spans="6:10" ht="12.75" x14ac:dyDescent="0.2">
      <c r="F254" s="3"/>
      <c r="G254" s="3"/>
      <c r="H254" s="3"/>
      <c r="I254" s="3"/>
      <c r="J254" s="3"/>
    </row>
    <row r="255" spans="6:10" ht="12.75" x14ac:dyDescent="0.2">
      <c r="F255" s="3"/>
      <c r="G255" s="3"/>
      <c r="H255" s="3"/>
      <c r="I255" s="3"/>
      <c r="J255" s="3"/>
    </row>
    <row r="256" spans="6:10" ht="12.75" x14ac:dyDescent="0.2">
      <c r="F256" s="3"/>
      <c r="G256" s="3"/>
      <c r="H256" s="3"/>
      <c r="I256" s="3"/>
      <c r="J256" s="3"/>
    </row>
    <row r="257" spans="6:10" ht="12.75" x14ac:dyDescent="0.2">
      <c r="F257" s="3"/>
      <c r="G257" s="3"/>
      <c r="H257" s="3"/>
      <c r="I257" s="3"/>
      <c r="J257" s="3"/>
    </row>
    <row r="258" spans="6:10" ht="12.75" x14ac:dyDescent="0.2">
      <c r="F258" s="3"/>
      <c r="G258" s="3"/>
      <c r="H258" s="3"/>
      <c r="I258" s="3"/>
      <c r="J258" s="3"/>
    </row>
    <row r="259" spans="6:10" ht="12.75" x14ac:dyDescent="0.2">
      <c r="F259" s="3"/>
      <c r="G259" s="3"/>
      <c r="H259" s="3"/>
      <c r="I259" s="3"/>
      <c r="J259" s="3"/>
    </row>
    <row r="260" spans="6:10" ht="12.75" x14ac:dyDescent="0.2">
      <c r="F260" s="3"/>
      <c r="G260" s="3"/>
      <c r="H260" s="3"/>
      <c r="I260" s="3"/>
      <c r="J260" s="3"/>
    </row>
    <row r="261" spans="6:10" ht="12.75" x14ac:dyDescent="0.2">
      <c r="F261" s="3"/>
      <c r="G261" s="3"/>
      <c r="H261" s="3"/>
      <c r="I261" s="3"/>
      <c r="J261" s="3"/>
    </row>
    <row r="262" spans="6:10" ht="12.75" x14ac:dyDescent="0.2">
      <c r="F262" s="3"/>
      <c r="G262" s="3"/>
      <c r="H262" s="3"/>
      <c r="I262" s="3"/>
      <c r="J262" s="3"/>
    </row>
    <row r="263" spans="6:10" ht="12.75" x14ac:dyDescent="0.2">
      <c r="F263" s="3"/>
      <c r="G263" s="3"/>
      <c r="H263" s="3"/>
      <c r="I263" s="3"/>
      <c r="J263" s="3"/>
    </row>
    <row r="264" spans="6:10" ht="12.75" x14ac:dyDescent="0.2">
      <c r="F264" s="3"/>
      <c r="G264" s="3"/>
      <c r="H264" s="3"/>
      <c r="I264" s="3"/>
      <c r="J264" s="3"/>
    </row>
    <row r="265" spans="6:10" ht="12.75" x14ac:dyDescent="0.2">
      <c r="F265" s="3"/>
      <c r="G265" s="3"/>
      <c r="H265" s="3"/>
      <c r="I265" s="3"/>
      <c r="J265" s="3"/>
    </row>
    <row r="266" spans="6:10" ht="12.75" x14ac:dyDescent="0.2">
      <c r="F266" s="3"/>
      <c r="G266" s="3"/>
      <c r="H266" s="3"/>
      <c r="I266" s="3"/>
      <c r="J266" s="3"/>
    </row>
    <row r="267" spans="6:10" ht="12.75" x14ac:dyDescent="0.2">
      <c r="F267" s="3"/>
      <c r="G267" s="3"/>
      <c r="H267" s="3"/>
      <c r="I267" s="3"/>
      <c r="J267" s="3"/>
    </row>
    <row r="268" spans="6:10" ht="12.75" x14ac:dyDescent="0.2">
      <c r="F268" s="3"/>
      <c r="G268" s="3"/>
      <c r="H268" s="3"/>
      <c r="I268" s="3"/>
      <c r="J268" s="3"/>
    </row>
    <row r="269" spans="6:10" ht="12.75" x14ac:dyDescent="0.2">
      <c r="F269" s="3"/>
      <c r="G269" s="3"/>
      <c r="H269" s="3"/>
      <c r="I269" s="3"/>
      <c r="J269" s="3"/>
    </row>
    <row r="270" spans="6:10" ht="12.75" x14ac:dyDescent="0.2">
      <c r="F270" s="3"/>
      <c r="G270" s="3"/>
      <c r="H270" s="3"/>
      <c r="I270" s="3"/>
      <c r="J270" s="3"/>
    </row>
    <row r="271" spans="6:10" ht="12.75" x14ac:dyDescent="0.2">
      <c r="F271" s="3"/>
      <c r="G271" s="3"/>
      <c r="H271" s="3"/>
      <c r="I271" s="3"/>
      <c r="J271" s="3"/>
    </row>
    <row r="272" spans="6:10" ht="12.75" x14ac:dyDescent="0.2">
      <c r="F272" s="3"/>
      <c r="G272" s="3"/>
      <c r="H272" s="3"/>
      <c r="I272" s="3"/>
      <c r="J272" s="3"/>
    </row>
    <row r="273" spans="6:10" ht="12.75" x14ac:dyDescent="0.2">
      <c r="F273" s="3"/>
      <c r="G273" s="3"/>
      <c r="H273" s="3"/>
      <c r="I273" s="3"/>
      <c r="J273" s="3"/>
    </row>
    <row r="274" spans="6:10" ht="12.75" x14ac:dyDescent="0.2">
      <c r="F274" s="3"/>
      <c r="G274" s="3"/>
      <c r="H274" s="3"/>
      <c r="I274" s="3"/>
      <c r="J274" s="3"/>
    </row>
    <row r="275" spans="6:10" ht="12.75" x14ac:dyDescent="0.2">
      <c r="F275" s="3"/>
      <c r="G275" s="3"/>
      <c r="H275" s="3"/>
      <c r="I275" s="3"/>
      <c r="J275" s="3"/>
    </row>
    <row r="276" spans="6:10" ht="12.75" x14ac:dyDescent="0.2">
      <c r="F276" s="3"/>
      <c r="G276" s="3"/>
      <c r="H276" s="3"/>
      <c r="I276" s="3"/>
      <c r="J276" s="3"/>
    </row>
    <row r="277" spans="6:10" ht="12.75" x14ac:dyDescent="0.2">
      <c r="F277" s="3"/>
      <c r="G277" s="3"/>
      <c r="H277" s="3"/>
      <c r="I277" s="3"/>
      <c r="J277" s="3"/>
    </row>
    <row r="278" spans="6:10" ht="12.75" x14ac:dyDescent="0.2">
      <c r="F278" s="3"/>
      <c r="G278" s="3"/>
      <c r="H278" s="3"/>
      <c r="I278" s="3"/>
      <c r="J278" s="3"/>
    </row>
    <row r="279" spans="6:10" ht="12.75" x14ac:dyDescent="0.2">
      <c r="F279" s="3"/>
      <c r="G279" s="3"/>
      <c r="H279" s="3"/>
      <c r="I279" s="3"/>
      <c r="J279" s="3"/>
    </row>
    <row r="280" spans="6:10" ht="12.75" x14ac:dyDescent="0.2">
      <c r="F280" s="3"/>
      <c r="G280" s="3"/>
      <c r="H280" s="3"/>
      <c r="I280" s="3"/>
      <c r="J280" s="3"/>
    </row>
    <row r="281" spans="6:10" ht="12.75" x14ac:dyDescent="0.2">
      <c r="F281" s="3"/>
      <c r="G281" s="3"/>
      <c r="H281" s="3"/>
      <c r="I281" s="3"/>
      <c r="J281" s="3"/>
    </row>
    <row r="282" spans="6:10" ht="12.75" x14ac:dyDescent="0.2">
      <c r="F282" s="3"/>
      <c r="G282" s="3"/>
      <c r="H282" s="3"/>
      <c r="I282" s="3"/>
      <c r="J282" s="3"/>
    </row>
    <row r="283" spans="6:10" ht="12.75" x14ac:dyDescent="0.2">
      <c r="F283" s="3"/>
      <c r="G283" s="3"/>
      <c r="H283" s="3"/>
      <c r="I283" s="3"/>
      <c r="J283" s="3"/>
    </row>
    <row r="284" spans="6:10" ht="12.75" x14ac:dyDescent="0.2">
      <c r="F284" s="3"/>
      <c r="G284" s="3"/>
      <c r="H284" s="3"/>
      <c r="I284" s="3"/>
      <c r="J284" s="3"/>
    </row>
    <row r="285" spans="6:10" ht="12.75" x14ac:dyDescent="0.2">
      <c r="F285" s="3"/>
      <c r="G285" s="3"/>
      <c r="H285" s="3"/>
      <c r="I285" s="3"/>
      <c r="J285" s="3"/>
    </row>
    <row r="286" spans="6:10" ht="12.75" x14ac:dyDescent="0.2">
      <c r="F286" s="3"/>
      <c r="G286" s="3"/>
      <c r="H286" s="3"/>
      <c r="I286" s="3"/>
      <c r="J286" s="3"/>
    </row>
    <row r="287" spans="6:10" ht="12.75" x14ac:dyDescent="0.2">
      <c r="F287" s="3"/>
      <c r="G287" s="3"/>
      <c r="H287" s="3"/>
      <c r="I287" s="3"/>
      <c r="J287" s="3"/>
    </row>
    <row r="288" spans="6:10" ht="12.75" x14ac:dyDescent="0.2">
      <c r="F288" s="3"/>
      <c r="G288" s="3"/>
      <c r="H288" s="3"/>
      <c r="I288" s="3"/>
      <c r="J288" s="3"/>
    </row>
    <row r="289" spans="6:10" ht="12.75" x14ac:dyDescent="0.2">
      <c r="F289" s="3"/>
      <c r="G289" s="3"/>
      <c r="H289" s="3"/>
      <c r="I289" s="3"/>
      <c r="J289" s="3"/>
    </row>
    <row r="290" spans="6:10" ht="12.75" x14ac:dyDescent="0.2">
      <c r="F290" s="3"/>
      <c r="G290" s="3"/>
      <c r="H290" s="3"/>
      <c r="I290" s="3"/>
      <c r="J290" s="3"/>
    </row>
    <row r="291" spans="6:10" ht="12.75" x14ac:dyDescent="0.2">
      <c r="F291" s="3"/>
      <c r="G291" s="3"/>
      <c r="H291" s="3"/>
      <c r="I291" s="3"/>
      <c r="J291" s="3"/>
    </row>
    <row r="292" spans="6:10" ht="12.75" x14ac:dyDescent="0.2">
      <c r="F292" s="3"/>
      <c r="G292" s="3"/>
      <c r="H292" s="3"/>
      <c r="I292" s="3"/>
      <c r="J292" s="3"/>
    </row>
    <row r="293" spans="6:10" ht="12.75" x14ac:dyDescent="0.2">
      <c r="F293" s="3"/>
      <c r="G293" s="3"/>
      <c r="H293" s="3"/>
      <c r="I293" s="3"/>
      <c r="J293" s="3"/>
    </row>
    <row r="294" spans="6:10" ht="12.75" x14ac:dyDescent="0.2">
      <c r="F294" s="3"/>
      <c r="G294" s="3"/>
      <c r="H294" s="3"/>
      <c r="I294" s="3"/>
      <c r="J294" s="3"/>
    </row>
    <row r="295" spans="6:10" ht="12.75" x14ac:dyDescent="0.2">
      <c r="F295" s="3"/>
      <c r="G295" s="3"/>
      <c r="H295" s="3"/>
      <c r="I295" s="3"/>
      <c r="J295" s="3"/>
    </row>
    <row r="296" spans="6:10" ht="12.75" x14ac:dyDescent="0.2">
      <c r="F296" s="3"/>
      <c r="G296" s="3"/>
      <c r="H296" s="3"/>
      <c r="I296" s="3"/>
      <c r="J296" s="3"/>
    </row>
    <row r="297" spans="6:10" ht="12.75" x14ac:dyDescent="0.2">
      <c r="F297" s="3"/>
      <c r="G297" s="3"/>
      <c r="H297" s="3"/>
      <c r="I297" s="3"/>
      <c r="J297" s="3"/>
    </row>
    <row r="298" spans="6:10" ht="12.75" x14ac:dyDescent="0.2">
      <c r="F298" s="3"/>
      <c r="G298" s="3"/>
      <c r="H298" s="3"/>
      <c r="I298" s="3"/>
      <c r="J298" s="3"/>
    </row>
    <row r="299" spans="6:10" ht="12.75" x14ac:dyDescent="0.2">
      <c r="F299" s="3"/>
      <c r="G299" s="3"/>
      <c r="H299" s="3"/>
      <c r="I299" s="3"/>
      <c r="J299" s="3"/>
    </row>
    <row r="300" spans="6:10" ht="12.75" x14ac:dyDescent="0.2">
      <c r="F300" s="3"/>
      <c r="G300" s="3"/>
      <c r="H300" s="3"/>
      <c r="I300" s="3"/>
      <c r="J300" s="3"/>
    </row>
    <row r="301" spans="6:10" ht="12.75" x14ac:dyDescent="0.2">
      <c r="F301" s="3"/>
      <c r="G301" s="3"/>
      <c r="H301" s="3"/>
      <c r="I301" s="3"/>
      <c r="J301" s="3"/>
    </row>
    <row r="302" spans="6:10" ht="12.75" x14ac:dyDescent="0.2">
      <c r="F302" s="3"/>
      <c r="G302" s="3"/>
      <c r="H302" s="3"/>
      <c r="I302" s="3"/>
      <c r="J302" s="3"/>
    </row>
    <row r="303" spans="6:10" ht="12.75" x14ac:dyDescent="0.2">
      <c r="F303" s="3"/>
      <c r="G303" s="3"/>
      <c r="H303" s="3"/>
      <c r="I303" s="3"/>
      <c r="J303" s="3"/>
    </row>
    <row r="304" spans="6:10" ht="12.75" x14ac:dyDescent="0.2">
      <c r="F304" s="3"/>
      <c r="G304" s="3"/>
      <c r="H304" s="3"/>
      <c r="I304" s="3"/>
      <c r="J304" s="3"/>
    </row>
    <row r="305" spans="6:10" ht="12.75" x14ac:dyDescent="0.2">
      <c r="F305" s="3"/>
      <c r="G305" s="3"/>
      <c r="H305" s="3"/>
      <c r="I305" s="3"/>
      <c r="J305" s="3"/>
    </row>
    <row r="306" spans="6:10" ht="12.75" x14ac:dyDescent="0.2">
      <c r="F306" s="3"/>
      <c r="G306" s="3"/>
      <c r="H306" s="3"/>
      <c r="I306" s="3"/>
      <c r="J306" s="3"/>
    </row>
    <row r="307" spans="6:10" ht="12.75" x14ac:dyDescent="0.2">
      <c r="F307" s="3"/>
      <c r="G307" s="3"/>
      <c r="H307" s="3"/>
      <c r="I307" s="3"/>
      <c r="J307" s="3"/>
    </row>
    <row r="308" spans="6:10" ht="12.75" x14ac:dyDescent="0.2">
      <c r="F308" s="3"/>
      <c r="G308" s="3"/>
      <c r="H308" s="3"/>
      <c r="I308" s="3"/>
      <c r="J308" s="3"/>
    </row>
    <row r="309" spans="6:10" ht="12.75" x14ac:dyDescent="0.2">
      <c r="F309" s="3"/>
      <c r="G309" s="3"/>
      <c r="H309" s="3"/>
      <c r="I309" s="3"/>
      <c r="J309" s="3"/>
    </row>
    <row r="310" spans="6:10" ht="12.75" x14ac:dyDescent="0.2">
      <c r="F310" s="3"/>
      <c r="G310" s="3"/>
      <c r="H310" s="3"/>
      <c r="I310" s="3"/>
      <c r="J310" s="3"/>
    </row>
    <row r="311" spans="6:10" ht="12.75" x14ac:dyDescent="0.2">
      <c r="F311" s="3"/>
      <c r="G311" s="3"/>
      <c r="H311" s="3"/>
      <c r="I311" s="3"/>
      <c r="J311" s="3"/>
    </row>
    <row r="312" spans="6:10" ht="12.75" x14ac:dyDescent="0.2">
      <c r="F312" s="3"/>
      <c r="G312" s="3"/>
      <c r="H312" s="3"/>
      <c r="I312" s="3"/>
      <c r="J312" s="3"/>
    </row>
    <row r="313" spans="6:10" ht="12.75" x14ac:dyDescent="0.2">
      <c r="F313" s="3"/>
      <c r="G313" s="3"/>
      <c r="H313" s="3"/>
      <c r="I313" s="3"/>
      <c r="J313" s="3"/>
    </row>
    <row r="314" spans="6:10" ht="12.75" x14ac:dyDescent="0.2">
      <c r="F314" s="3"/>
      <c r="G314" s="3"/>
      <c r="H314" s="3"/>
      <c r="I314" s="3"/>
      <c r="J314" s="3"/>
    </row>
    <row r="315" spans="6:10" ht="12.75" x14ac:dyDescent="0.2">
      <c r="F315" s="3"/>
      <c r="G315" s="3"/>
      <c r="H315" s="3"/>
      <c r="I315" s="3"/>
      <c r="J315" s="3"/>
    </row>
    <row r="316" spans="6:10" ht="12.75" x14ac:dyDescent="0.2">
      <c r="F316" s="3"/>
      <c r="G316" s="3"/>
      <c r="H316" s="3"/>
      <c r="I316" s="3"/>
      <c r="J316" s="3"/>
    </row>
    <row r="317" spans="6:10" ht="12.75" x14ac:dyDescent="0.2">
      <c r="F317" s="3"/>
      <c r="G317" s="3"/>
      <c r="H317" s="3"/>
      <c r="I317" s="3"/>
      <c r="J317" s="3"/>
    </row>
    <row r="318" spans="6:10" ht="12.75" x14ac:dyDescent="0.2">
      <c r="F318" s="3"/>
      <c r="G318" s="3"/>
      <c r="H318" s="3"/>
      <c r="I318" s="3"/>
      <c r="J318" s="3"/>
    </row>
    <row r="319" spans="6:10" ht="12.75" x14ac:dyDescent="0.2">
      <c r="F319" s="3"/>
      <c r="G319" s="3"/>
      <c r="H319" s="3"/>
      <c r="I319" s="3"/>
      <c r="J319" s="3"/>
    </row>
    <row r="320" spans="6:10" ht="12.75" x14ac:dyDescent="0.2">
      <c r="F320" s="3"/>
      <c r="G320" s="3"/>
      <c r="H320" s="3"/>
      <c r="I320" s="3"/>
      <c r="J320" s="3"/>
    </row>
    <row r="321" spans="6:10" ht="12.75" x14ac:dyDescent="0.2">
      <c r="F321" s="3"/>
      <c r="G321" s="3"/>
      <c r="H321" s="3"/>
      <c r="I321" s="3"/>
      <c r="J321" s="3"/>
    </row>
    <row r="322" spans="6:10" ht="12.75" x14ac:dyDescent="0.2">
      <c r="F322" s="3"/>
      <c r="G322" s="3"/>
      <c r="H322" s="3"/>
      <c r="I322" s="3"/>
      <c r="J322" s="3"/>
    </row>
    <row r="323" spans="6:10" ht="12.75" x14ac:dyDescent="0.2">
      <c r="F323" s="3"/>
      <c r="G323" s="3"/>
      <c r="H323" s="3"/>
      <c r="I323" s="3"/>
      <c r="J323" s="3"/>
    </row>
    <row r="324" spans="6:10" ht="12.75" x14ac:dyDescent="0.2">
      <c r="F324" s="3"/>
      <c r="G324" s="3"/>
      <c r="H324" s="3"/>
      <c r="I324" s="3"/>
      <c r="J324" s="3"/>
    </row>
    <row r="325" spans="6:10" ht="12.75" x14ac:dyDescent="0.2">
      <c r="F325" s="3"/>
      <c r="G325" s="3"/>
      <c r="H325" s="3"/>
      <c r="I325" s="3"/>
      <c r="J325" s="3"/>
    </row>
    <row r="326" spans="6:10" ht="12.75" x14ac:dyDescent="0.2">
      <c r="F326" s="3"/>
      <c r="G326" s="3"/>
      <c r="H326" s="3"/>
      <c r="I326" s="3"/>
      <c r="J326" s="3"/>
    </row>
    <row r="327" spans="6:10" ht="12.75" x14ac:dyDescent="0.2">
      <c r="F327" s="3"/>
      <c r="G327" s="3"/>
      <c r="H327" s="3"/>
      <c r="I327" s="3"/>
      <c r="J327" s="3"/>
    </row>
    <row r="328" spans="6:10" ht="12.75" x14ac:dyDescent="0.2">
      <c r="F328" s="3"/>
      <c r="G328" s="3"/>
      <c r="H328" s="3"/>
      <c r="I328" s="3"/>
      <c r="J328" s="3"/>
    </row>
    <row r="329" spans="6:10" ht="12.75" x14ac:dyDescent="0.2">
      <c r="F329" s="3"/>
      <c r="G329" s="3"/>
      <c r="H329" s="3"/>
      <c r="I329" s="3"/>
      <c r="J329" s="3"/>
    </row>
    <row r="330" spans="6:10" ht="12.75" x14ac:dyDescent="0.2">
      <c r="F330" s="3"/>
      <c r="G330" s="3"/>
      <c r="H330" s="3"/>
      <c r="I330" s="3"/>
      <c r="J330" s="3"/>
    </row>
    <row r="331" spans="6:10" ht="12.75" x14ac:dyDescent="0.2">
      <c r="F331" s="3"/>
      <c r="G331" s="3"/>
      <c r="H331" s="3"/>
      <c r="I331" s="3"/>
      <c r="J331" s="3"/>
    </row>
    <row r="332" spans="6:10" ht="12.75" x14ac:dyDescent="0.2">
      <c r="F332" s="3"/>
      <c r="G332" s="3"/>
      <c r="H332" s="3"/>
      <c r="I332" s="3"/>
      <c r="J332" s="3"/>
    </row>
    <row r="333" spans="6:10" ht="12.75" x14ac:dyDescent="0.2">
      <c r="F333" s="3"/>
      <c r="G333" s="3"/>
      <c r="H333" s="3"/>
      <c r="I333" s="3"/>
      <c r="J333" s="3"/>
    </row>
    <row r="334" spans="6:10" ht="12.75" x14ac:dyDescent="0.2">
      <c r="F334" s="3"/>
      <c r="G334" s="3"/>
      <c r="H334" s="3"/>
      <c r="I334" s="3"/>
      <c r="J334" s="3"/>
    </row>
    <row r="335" spans="6:10" ht="12.75" x14ac:dyDescent="0.2">
      <c r="F335" s="3"/>
      <c r="G335" s="3"/>
      <c r="H335" s="3"/>
      <c r="I335" s="3"/>
      <c r="J335" s="3"/>
    </row>
    <row r="336" spans="6:10" ht="12.75" x14ac:dyDescent="0.2">
      <c r="F336" s="3"/>
      <c r="G336" s="3"/>
      <c r="H336" s="3"/>
      <c r="I336" s="3"/>
      <c r="J336" s="3"/>
    </row>
    <row r="337" spans="6:10" ht="12.75" x14ac:dyDescent="0.2">
      <c r="F337" s="3"/>
      <c r="G337" s="3"/>
      <c r="H337" s="3"/>
      <c r="I337" s="3"/>
      <c r="J337" s="3"/>
    </row>
    <row r="338" spans="6:10" ht="12.75" x14ac:dyDescent="0.2">
      <c r="F338" s="3"/>
      <c r="G338" s="3"/>
      <c r="H338" s="3"/>
      <c r="I338" s="3"/>
      <c r="J338" s="3"/>
    </row>
    <row r="339" spans="6:10" ht="12.75" x14ac:dyDescent="0.2">
      <c r="F339" s="3"/>
      <c r="G339" s="3"/>
      <c r="H339" s="3"/>
      <c r="I339" s="3"/>
      <c r="J339" s="3"/>
    </row>
    <row r="340" spans="6:10" ht="12.75" x14ac:dyDescent="0.2">
      <c r="F340" s="3"/>
      <c r="G340" s="3"/>
      <c r="H340" s="3"/>
      <c r="I340" s="3"/>
      <c r="J340" s="3"/>
    </row>
    <row r="341" spans="6:10" ht="12.75" x14ac:dyDescent="0.2">
      <c r="F341" s="3"/>
      <c r="G341" s="3"/>
      <c r="H341" s="3"/>
      <c r="I341" s="3"/>
      <c r="J341" s="3"/>
    </row>
    <row r="342" spans="6:10" ht="12.75" x14ac:dyDescent="0.2">
      <c r="F342" s="3"/>
      <c r="G342" s="3"/>
      <c r="H342" s="3"/>
      <c r="I342" s="3"/>
      <c r="J342" s="3"/>
    </row>
    <row r="343" spans="6:10" ht="12.75" x14ac:dyDescent="0.2">
      <c r="F343" s="3"/>
      <c r="G343" s="3"/>
      <c r="H343" s="3"/>
      <c r="I343" s="3"/>
      <c r="J343" s="3"/>
    </row>
    <row r="344" spans="6:10" ht="12.75" x14ac:dyDescent="0.2">
      <c r="F344" s="3"/>
      <c r="G344" s="3"/>
      <c r="H344" s="3"/>
      <c r="I344" s="3"/>
      <c r="J344" s="3"/>
    </row>
    <row r="345" spans="6:10" ht="12.75" x14ac:dyDescent="0.2">
      <c r="F345" s="3"/>
      <c r="G345" s="3"/>
      <c r="H345" s="3"/>
      <c r="I345" s="3"/>
      <c r="J345" s="3"/>
    </row>
    <row r="346" spans="6:10" ht="12.75" x14ac:dyDescent="0.2">
      <c r="F346" s="3"/>
      <c r="G346" s="3"/>
      <c r="H346" s="3"/>
      <c r="I346" s="3"/>
      <c r="J346" s="3"/>
    </row>
    <row r="347" spans="6:10" ht="12.75" x14ac:dyDescent="0.2">
      <c r="F347" s="3"/>
      <c r="G347" s="3"/>
      <c r="H347" s="3"/>
      <c r="I347" s="3"/>
      <c r="J347" s="3"/>
    </row>
    <row r="348" spans="6:10" ht="12.75" x14ac:dyDescent="0.2">
      <c r="F348" s="3"/>
      <c r="G348" s="3"/>
      <c r="H348" s="3"/>
      <c r="I348" s="3"/>
      <c r="J348" s="3"/>
    </row>
    <row r="349" spans="6:10" ht="12.75" x14ac:dyDescent="0.2">
      <c r="F349" s="3"/>
      <c r="G349" s="3"/>
      <c r="H349" s="3"/>
      <c r="I349" s="3"/>
      <c r="J349" s="3"/>
    </row>
    <row r="350" spans="6:10" ht="12.75" x14ac:dyDescent="0.2">
      <c r="F350" s="3"/>
      <c r="G350" s="3"/>
      <c r="H350" s="3"/>
      <c r="I350" s="3"/>
      <c r="J350" s="3"/>
    </row>
    <row r="351" spans="6:10" ht="12.75" x14ac:dyDescent="0.2">
      <c r="F351" s="3"/>
      <c r="G351" s="3"/>
      <c r="H351" s="3"/>
      <c r="I351" s="3"/>
      <c r="J351" s="3"/>
    </row>
    <row r="352" spans="6:10" ht="12.75" x14ac:dyDescent="0.2">
      <c r="F352" s="3"/>
      <c r="G352" s="3"/>
      <c r="H352" s="3"/>
      <c r="I352" s="3"/>
      <c r="J352" s="3"/>
    </row>
    <row r="353" spans="6:10" ht="12.75" x14ac:dyDescent="0.2">
      <c r="F353" s="3"/>
      <c r="G353" s="3"/>
      <c r="H353" s="3"/>
      <c r="I353" s="3"/>
      <c r="J353" s="3"/>
    </row>
    <row r="354" spans="6:10" ht="12.75" x14ac:dyDescent="0.2">
      <c r="F354" s="3"/>
      <c r="G354" s="3"/>
      <c r="H354" s="3"/>
      <c r="I354" s="3"/>
      <c r="J354" s="3"/>
    </row>
    <row r="355" spans="6:10" ht="12.75" x14ac:dyDescent="0.2">
      <c r="F355" s="3"/>
      <c r="G355" s="3"/>
      <c r="H355" s="3"/>
      <c r="I355" s="3"/>
      <c r="J355" s="3"/>
    </row>
    <row r="356" spans="6:10" ht="12.75" x14ac:dyDescent="0.2">
      <c r="F356" s="3"/>
      <c r="G356" s="3"/>
      <c r="H356" s="3"/>
      <c r="I356" s="3"/>
      <c r="J356" s="3"/>
    </row>
    <row r="357" spans="6:10" ht="12.75" x14ac:dyDescent="0.2">
      <c r="F357" s="3"/>
      <c r="G357" s="3"/>
      <c r="H357" s="3"/>
      <c r="I357" s="3"/>
      <c r="J357" s="3"/>
    </row>
    <row r="358" spans="6:10" ht="12.75" x14ac:dyDescent="0.2">
      <c r="F358" s="3"/>
      <c r="G358" s="3"/>
      <c r="H358" s="3"/>
      <c r="I358" s="3"/>
      <c r="J358" s="3"/>
    </row>
    <row r="359" spans="6:10" ht="12.75" x14ac:dyDescent="0.2">
      <c r="F359" s="3"/>
      <c r="G359" s="3"/>
      <c r="H359" s="3"/>
      <c r="I359" s="3"/>
      <c r="J359" s="3"/>
    </row>
    <row r="360" spans="6:10" ht="12.75" x14ac:dyDescent="0.2">
      <c r="F360" s="3"/>
      <c r="G360" s="3"/>
      <c r="H360" s="3"/>
      <c r="I360" s="3"/>
      <c r="J360" s="3"/>
    </row>
    <row r="361" spans="6:10" ht="12.75" x14ac:dyDescent="0.2">
      <c r="F361" s="3"/>
      <c r="G361" s="3"/>
      <c r="H361" s="3"/>
      <c r="I361" s="3"/>
      <c r="J361" s="3"/>
    </row>
    <row r="362" spans="6:10" ht="12.75" x14ac:dyDescent="0.2">
      <c r="F362" s="3"/>
      <c r="G362" s="3"/>
      <c r="H362" s="3"/>
      <c r="I362" s="3"/>
      <c r="J362" s="3"/>
    </row>
    <row r="363" spans="6:10" ht="12.75" x14ac:dyDescent="0.2">
      <c r="F363" s="3"/>
      <c r="G363" s="3"/>
      <c r="H363" s="3"/>
      <c r="I363" s="3"/>
      <c r="J363" s="3"/>
    </row>
    <row r="364" spans="6:10" ht="12.75" x14ac:dyDescent="0.2">
      <c r="F364" s="3"/>
      <c r="G364" s="3"/>
      <c r="H364" s="3"/>
      <c r="I364" s="3"/>
      <c r="J364" s="3"/>
    </row>
    <row r="365" spans="6:10" ht="12.75" x14ac:dyDescent="0.2">
      <c r="F365" s="3"/>
      <c r="G365" s="3"/>
      <c r="H365" s="3"/>
      <c r="I365" s="3"/>
      <c r="J365" s="3"/>
    </row>
    <row r="366" spans="6:10" ht="12.75" x14ac:dyDescent="0.2">
      <c r="F366" s="3"/>
      <c r="G366" s="3"/>
      <c r="H366" s="3"/>
      <c r="I366" s="3"/>
      <c r="J366" s="3"/>
    </row>
    <row r="367" spans="6:10" ht="12.75" x14ac:dyDescent="0.2">
      <c r="F367" s="3"/>
      <c r="G367" s="3"/>
      <c r="H367" s="3"/>
      <c r="I367" s="3"/>
      <c r="J367" s="3"/>
    </row>
    <row r="368" spans="6:10" ht="12.75" x14ac:dyDescent="0.2">
      <c r="F368" s="3"/>
      <c r="G368" s="3"/>
      <c r="H368" s="3"/>
      <c r="I368" s="3"/>
      <c r="J368" s="3"/>
    </row>
    <row r="369" spans="6:10" ht="12.75" x14ac:dyDescent="0.2">
      <c r="F369" s="3"/>
      <c r="G369" s="3"/>
      <c r="H369" s="3"/>
      <c r="I369" s="3"/>
      <c r="J369" s="3"/>
    </row>
    <row r="370" spans="6:10" ht="12.75" x14ac:dyDescent="0.2">
      <c r="F370" s="3"/>
      <c r="G370" s="3"/>
      <c r="H370" s="3"/>
      <c r="I370" s="3"/>
      <c r="J370" s="3"/>
    </row>
    <row r="371" spans="6:10" ht="12.75" x14ac:dyDescent="0.2">
      <c r="F371" s="3"/>
      <c r="G371" s="3"/>
      <c r="H371" s="3"/>
      <c r="I371" s="3"/>
      <c r="J371" s="3"/>
    </row>
    <row r="372" spans="6:10" ht="12.75" x14ac:dyDescent="0.2">
      <c r="F372" s="3"/>
      <c r="G372" s="3"/>
      <c r="H372" s="3"/>
      <c r="I372" s="3"/>
      <c r="J372" s="3"/>
    </row>
    <row r="373" spans="6:10" ht="12.75" x14ac:dyDescent="0.2">
      <c r="F373" s="3"/>
      <c r="G373" s="3"/>
      <c r="H373" s="3"/>
      <c r="I373" s="3"/>
      <c r="J373" s="3"/>
    </row>
    <row r="374" spans="6:10" ht="12.75" x14ac:dyDescent="0.2">
      <c r="F374" s="3"/>
      <c r="G374" s="3"/>
      <c r="H374" s="3"/>
      <c r="I374" s="3"/>
      <c r="J374" s="3"/>
    </row>
    <row r="375" spans="6:10" ht="12.75" x14ac:dyDescent="0.2">
      <c r="F375" s="3"/>
      <c r="G375" s="3"/>
      <c r="H375" s="3"/>
      <c r="I375" s="3"/>
      <c r="J375" s="3"/>
    </row>
    <row r="376" spans="6:10" ht="12.75" x14ac:dyDescent="0.2">
      <c r="F376" s="3"/>
      <c r="G376" s="3"/>
      <c r="H376" s="3"/>
      <c r="I376" s="3"/>
      <c r="J376" s="3"/>
    </row>
    <row r="377" spans="6:10" ht="12.75" x14ac:dyDescent="0.2">
      <c r="F377" s="3"/>
      <c r="G377" s="3"/>
      <c r="H377" s="3"/>
      <c r="I377" s="3"/>
      <c r="J377" s="3"/>
    </row>
    <row r="378" spans="6:10" ht="12.75" x14ac:dyDescent="0.2">
      <c r="F378" s="3"/>
      <c r="G378" s="3"/>
      <c r="H378" s="3"/>
      <c r="I378" s="3"/>
      <c r="J378" s="3"/>
    </row>
    <row r="379" spans="6:10" ht="12.75" x14ac:dyDescent="0.2">
      <c r="F379" s="3"/>
      <c r="G379" s="3"/>
      <c r="H379" s="3"/>
      <c r="I379" s="3"/>
      <c r="J379" s="3"/>
    </row>
    <row r="380" spans="6:10" ht="12.75" x14ac:dyDescent="0.2">
      <c r="F380" s="3"/>
      <c r="G380" s="3"/>
      <c r="H380" s="3"/>
      <c r="I380" s="3"/>
      <c r="J380" s="3"/>
    </row>
    <row r="381" spans="6:10" ht="12.75" x14ac:dyDescent="0.2">
      <c r="F381" s="3"/>
      <c r="G381" s="3"/>
      <c r="H381" s="3"/>
      <c r="I381" s="3"/>
      <c r="J381" s="3"/>
    </row>
    <row r="382" spans="6:10" ht="12.75" x14ac:dyDescent="0.2">
      <c r="F382" s="3"/>
      <c r="G382" s="3"/>
      <c r="H382" s="3"/>
      <c r="I382" s="3"/>
      <c r="J382" s="3"/>
    </row>
    <row r="383" spans="6:10" ht="12.75" x14ac:dyDescent="0.2">
      <c r="F383" s="3"/>
      <c r="G383" s="3"/>
      <c r="H383" s="3"/>
      <c r="I383" s="3"/>
      <c r="J383" s="3"/>
    </row>
    <row r="384" spans="6:10" ht="12.75" x14ac:dyDescent="0.2">
      <c r="F384" s="3"/>
      <c r="G384" s="3"/>
      <c r="H384" s="3"/>
      <c r="I384" s="3"/>
      <c r="J384" s="3"/>
    </row>
    <row r="385" spans="6:10" ht="12.75" x14ac:dyDescent="0.2">
      <c r="F385" s="3"/>
      <c r="G385" s="3"/>
      <c r="H385" s="3"/>
      <c r="I385" s="3"/>
      <c r="J385" s="3"/>
    </row>
    <row r="386" spans="6:10" ht="12.75" x14ac:dyDescent="0.2">
      <c r="F386" s="3"/>
      <c r="G386" s="3"/>
      <c r="H386" s="3"/>
      <c r="I386" s="3"/>
      <c r="J386" s="3"/>
    </row>
    <row r="387" spans="6:10" ht="12.75" x14ac:dyDescent="0.2">
      <c r="F387" s="3"/>
      <c r="G387" s="3"/>
      <c r="H387" s="3"/>
      <c r="I387" s="3"/>
      <c r="J387" s="3"/>
    </row>
    <row r="388" spans="6:10" ht="12.75" x14ac:dyDescent="0.2">
      <c r="F388" s="3"/>
      <c r="G388" s="3"/>
      <c r="H388" s="3"/>
      <c r="I388" s="3"/>
      <c r="J388" s="3"/>
    </row>
    <row r="389" spans="6:10" ht="12.75" x14ac:dyDescent="0.2">
      <c r="F389" s="3"/>
      <c r="G389" s="3"/>
      <c r="H389" s="3"/>
      <c r="I389" s="3"/>
      <c r="J389" s="3"/>
    </row>
    <row r="390" spans="6:10" ht="12.75" x14ac:dyDescent="0.2">
      <c r="F390" s="3"/>
      <c r="G390" s="3"/>
      <c r="H390" s="3"/>
      <c r="I390" s="3"/>
      <c r="J390" s="3"/>
    </row>
    <row r="391" spans="6:10" ht="12.75" x14ac:dyDescent="0.2">
      <c r="F391" s="3"/>
      <c r="G391" s="3"/>
      <c r="H391" s="3"/>
      <c r="I391" s="3"/>
      <c r="J391" s="3"/>
    </row>
    <row r="392" spans="6:10" ht="12.75" x14ac:dyDescent="0.2">
      <c r="F392" s="3"/>
      <c r="G392" s="3"/>
      <c r="H392" s="3"/>
      <c r="I392" s="3"/>
      <c r="J392" s="3"/>
    </row>
    <row r="393" spans="6:10" ht="12.75" x14ac:dyDescent="0.2">
      <c r="F393" s="3"/>
      <c r="G393" s="3"/>
      <c r="H393" s="3"/>
      <c r="I393" s="3"/>
      <c r="J393" s="3"/>
    </row>
    <row r="394" spans="6:10" ht="12.75" x14ac:dyDescent="0.2">
      <c r="F394" s="3"/>
      <c r="G394" s="3"/>
      <c r="H394" s="3"/>
      <c r="I394" s="3"/>
      <c r="J394" s="3"/>
    </row>
    <row r="395" spans="6:10" ht="12.75" x14ac:dyDescent="0.2">
      <c r="F395" s="3"/>
      <c r="G395" s="3"/>
      <c r="H395" s="3"/>
      <c r="I395" s="3"/>
      <c r="J395" s="3"/>
    </row>
    <row r="396" spans="6:10" ht="12.75" x14ac:dyDescent="0.2">
      <c r="F396" s="3"/>
      <c r="G396" s="3"/>
      <c r="H396" s="3"/>
      <c r="I396" s="3"/>
      <c r="J396" s="3"/>
    </row>
    <row r="397" spans="6:10" ht="12.75" x14ac:dyDescent="0.2">
      <c r="F397" s="3"/>
      <c r="G397" s="3"/>
      <c r="H397" s="3"/>
      <c r="I397" s="3"/>
      <c r="J397" s="3"/>
    </row>
    <row r="398" spans="6:10" ht="12.75" x14ac:dyDescent="0.2">
      <c r="F398" s="3"/>
      <c r="G398" s="3"/>
      <c r="H398" s="3"/>
      <c r="I398" s="3"/>
      <c r="J398" s="3"/>
    </row>
    <row r="399" spans="6:10" ht="12.75" x14ac:dyDescent="0.2">
      <c r="F399" s="3"/>
      <c r="G399" s="3"/>
      <c r="H399" s="3"/>
      <c r="I399" s="3"/>
      <c r="J399" s="3"/>
    </row>
    <row r="400" spans="6:10" ht="12.75" x14ac:dyDescent="0.2">
      <c r="F400" s="3"/>
      <c r="G400" s="3"/>
      <c r="H400" s="3"/>
      <c r="I400" s="3"/>
      <c r="J400" s="3"/>
    </row>
    <row r="401" spans="6:10" ht="12.75" x14ac:dyDescent="0.2">
      <c r="F401" s="3"/>
      <c r="G401" s="3"/>
      <c r="H401" s="3"/>
      <c r="I401" s="3"/>
      <c r="J401" s="3"/>
    </row>
    <row r="402" spans="6:10" ht="12.75" x14ac:dyDescent="0.2">
      <c r="F402" s="3"/>
      <c r="G402" s="3"/>
      <c r="H402" s="3"/>
      <c r="I402" s="3"/>
      <c r="J402" s="3"/>
    </row>
    <row r="403" spans="6:10" ht="12.75" x14ac:dyDescent="0.2">
      <c r="F403" s="3"/>
      <c r="G403" s="3"/>
      <c r="H403" s="3"/>
      <c r="I403" s="3"/>
      <c r="J403" s="3"/>
    </row>
    <row r="404" spans="6:10" ht="12.75" x14ac:dyDescent="0.2">
      <c r="F404" s="3"/>
      <c r="G404" s="3"/>
      <c r="H404" s="3"/>
      <c r="I404" s="3"/>
      <c r="J404" s="3"/>
    </row>
    <row r="405" spans="6:10" ht="12.75" x14ac:dyDescent="0.2">
      <c r="F405" s="3"/>
      <c r="G405" s="3"/>
      <c r="H405" s="3"/>
      <c r="I405" s="3"/>
      <c r="J405" s="3"/>
    </row>
    <row r="406" spans="6:10" ht="12.75" x14ac:dyDescent="0.2">
      <c r="F406" s="3"/>
      <c r="G406" s="3"/>
      <c r="H406" s="3"/>
      <c r="I406" s="3"/>
      <c r="J406" s="3"/>
    </row>
    <row r="407" spans="6:10" ht="12.75" x14ac:dyDescent="0.2">
      <c r="F407" s="3"/>
      <c r="G407" s="3"/>
      <c r="H407" s="3"/>
      <c r="I407" s="3"/>
      <c r="J407" s="3"/>
    </row>
    <row r="408" spans="6:10" ht="12.75" x14ac:dyDescent="0.2">
      <c r="F408" s="3"/>
      <c r="G408" s="3"/>
      <c r="H408" s="3"/>
      <c r="I408" s="3"/>
      <c r="J408" s="3"/>
    </row>
    <row r="409" spans="6:10" ht="12.75" x14ac:dyDescent="0.2">
      <c r="F409" s="3"/>
      <c r="G409" s="3"/>
      <c r="H409" s="3"/>
      <c r="I409" s="3"/>
      <c r="J409" s="3"/>
    </row>
    <row r="410" spans="6:10" ht="12.75" x14ac:dyDescent="0.2">
      <c r="F410" s="3"/>
      <c r="G410" s="3"/>
      <c r="H410" s="3"/>
      <c r="I410" s="3"/>
      <c r="J410" s="3"/>
    </row>
    <row r="411" spans="6:10" ht="12.75" x14ac:dyDescent="0.2">
      <c r="F411" s="3"/>
      <c r="G411" s="3"/>
      <c r="H411" s="3"/>
      <c r="I411" s="3"/>
      <c r="J411" s="3"/>
    </row>
    <row r="412" spans="6:10" ht="12.75" x14ac:dyDescent="0.2">
      <c r="F412" s="3"/>
      <c r="G412" s="3"/>
      <c r="H412" s="3"/>
      <c r="I412" s="3"/>
      <c r="J412" s="3"/>
    </row>
    <row r="413" spans="6:10" ht="12.75" x14ac:dyDescent="0.2">
      <c r="F413" s="3"/>
      <c r="G413" s="3"/>
      <c r="H413" s="3"/>
      <c r="I413" s="3"/>
      <c r="J413" s="3"/>
    </row>
    <row r="414" spans="6:10" ht="12.75" x14ac:dyDescent="0.2">
      <c r="F414" s="3"/>
      <c r="G414" s="3"/>
      <c r="H414" s="3"/>
      <c r="I414" s="3"/>
      <c r="J414" s="3"/>
    </row>
    <row r="415" spans="6:10" ht="12.75" x14ac:dyDescent="0.2">
      <c r="F415" s="3"/>
      <c r="G415" s="3"/>
      <c r="H415" s="3"/>
      <c r="I415" s="3"/>
      <c r="J415" s="3"/>
    </row>
    <row r="416" spans="6:10" ht="12.75" x14ac:dyDescent="0.2">
      <c r="F416" s="3"/>
      <c r="G416" s="3"/>
      <c r="H416" s="3"/>
      <c r="I416" s="3"/>
      <c r="J416" s="3"/>
    </row>
    <row r="417" spans="6:10" ht="12.75" x14ac:dyDescent="0.2">
      <c r="F417" s="3"/>
      <c r="G417" s="3"/>
      <c r="H417" s="3"/>
      <c r="I417" s="3"/>
      <c r="J417" s="3"/>
    </row>
    <row r="418" spans="6:10" ht="12.75" x14ac:dyDescent="0.2">
      <c r="F418" s="3"/>
      <c r="G418" s="3"/>
      <c r="H418" s="3"/>
      <c r="I418" s="3"/>
      <c r="J418" s="3"/>
    </row>
    <row r="419" spans="6:10" ht="12.75" x14ac:dyDescent="0.2">
      <c r="F419" s="3"/>
      <c r="G419" s="3"/>
      <c r="H419" s="3"/>
      <c r="I419" s="3"/>
      <c r="J419" s="3"/>
    </row>
    <row r="420" spans="6:10" ht="12.75" x14ac:dyDescent="0.2">
      <c r="F420" s="3"/>
      <c r="G420" s="3"/>
      <c r="H420" s="3"/>
      <c r="I420" s="3"/>
      <c r="J420" s="3"/>
    </row>
    <row r="421" spans="6:10" ht="12.75" x14ac:dyDescent="0.2">
      <c r="F421" s="3"/>
      <c r="G421" s="3"/>
      <c r="H421" s="3"/>
      <c r="I421" s="3"/>
      <c r="J421" s="3"/>
    </row>
    <row r="422" spans="6:10" ht="12.75" x14ac:dyDescent="0.2">
      <c r="F422" s="3"/>
      <c r="G422" s="3"/>
      <c r="H422" s="3"/>
      <c r="I422" s="3"/>
      <c r="J422" s="3"/>
    </row>
    <row r="423" spans="6:10" ht="12.75" x14ac:dyDescent="0.2">
      <c r="F423" s="3"/>
      <c r="G423" s="3"/>
      <c r="H423" s="3"/>
      <c r="I423" s="3"/>
      <c r="J423" s="3"/>
    </row>
    <row r="424" spans="6:10" ht="12.75" x14ac:dyDescent="0.2">
      <c r="F424" s="3"/>
      <c r="G424" s="3"/>
      <c r="H424" s="3"/>
      <c r="I424" s="3"/>
      <c r="J424" s="3"/>
    </row>
    <row r="425" spans="6:10" ht="12.75" x14ac:dyDescent="0.2">
      <c r="F425" s="3"/>
      <c r="G425" s="3"/>
      <c r="H425" s="3"/>
      <c r="I425" s="3"/>
      <c r="J425" s="3"/>
    </row>
    <row r="426" spans="6:10" ht="12.75" x14ac:dyDescent="0.2">
      <c r="F426" s="3"/>
      <c r="G426" s="3"/>
      <c r="H426" s="3"/>
      <c r="I426" s="3"/>
      <c r="J426" s="3"/>
    </row>
    <row r="427" spans="6:10" ht="12.75" x14ac:dyDescent="0.2">
      <c r="F427" s="3"/>
      <c r="G427" s="3"/>
      <c r="H427" s="3"/>
      <c r="I427" s="3"/>
      <c r="J427" s="3"/>
    </row>
    <row r="428" spans="6:10" ht="12.75" x14ac:dyDescent="0.2">
      <c r="F428" s="3"/>
      <c r="G428" s="3"/>
      <c r="H428" s="3"/>
      <c r="I428" s="3"/>
      <c r="J428" s="3"/>
    </row>
    <row r="429" spans="6:10" ht="12.75" x14ac:dyDescent="0.2">
      <c r="F429" s="3"/>
      <c r="G429" s="3"/>
      <c r="H429" s="3"/>
      <c r="I429" s="3"/>
      <c r="J429" s="3"/>
    </row>
    <row r="430" spans="6:10" ht="12.75" x14ac:dyDescent="0.2">
      <c r="F430" s="3"/>
      <c r="G430" s="3"/>
      <c r="H430" s="3"/>
      <c r="I430" s="3"/>
      <c r="J430" s="3"/>
    </row>
    <row r="431" spans="6:10" ht="12.75" x14ac:dyDescent="0.2">
      <c r="F431" s="3"/>
      <c r="G431" s="3"/>
      <c r="H431" s="3"/>
      <c r="I431" s="3"/>
      <c r="J431" s="3"/>
    </row>
    <row r="432" spans="6:10" ht="12.75" x14ac:dyDescent="0.2">
      <c r="F432" s="3"/>
      <c r="G432" s="3"/>
      <c r="H432" s="3"/>
      <c r="I432" s="3"/>
      <c r="J432" s="3"/>
    </row>
    <row r="433" spans="6:10" ht="12.75" x14ac:dyDescent="0.2">
      <c r="F433" s="3"/>
      <c r="G433" s="3"/>
      <c r="H433" s="3"/>
      <c r="I433" s="3"/>
      <c r="J433" s="3"/>
    </row>
    <row r="434" spans="6:10" ht="12.75" x14ac:dyDescent="0.2">
      <c r="F434" s="3"/>
      <c r="G434" s="3"/>
      <c r="H434" s="3"/>
      <c r="I434" s="3"/>
      <c r="J434" s="3"/>
    </row>
    <row r="435" spans="6:10" ht="12.75" x14ac:dyDescent="0.2">
      <c r="F435" s="3"/>
      <c r="G435" s="3"/>
      <c r="H435" s="3"/>
      <c r="I435" s="3"/>
      <c r="J435" s="3"/>
    </row>
    <row r="436" spans="6:10" ht="12.75" x14ac:dyDescent="0.2">
      <c r="F436" s="3"/>
      <c r="G436" s="3"/>
      <c r="H436" s="3"/>
      <c r="I436" s="3"/>
      <c r="J436" s="3"/>
    </row>
    <row r="437" spans="6:10" ht="12.75" x14ac:dyDescent="0.2">
      <c r="F437" s="3"/>
      <c r="G437" s="3"/>
      <c r="H437" s="3"/>
      <c r="I437" s="3"/>
      <c r="J437" s="3"/>
    </row>
    <row r="438" spans="6:10" ht="12.75" x14ac:dyDescent="0.2">
      <c r="F438" s="3"/>
      <c r="G438" s="3"/>
      <c r="H438" s="3"/>
      <c r="I438" s="3"/>
      <c r="J438" s="3"/>
    </row>
    <row r="439" spans="6:10" ht="12.75" x14ac:dyDescent="0.2">
      <c r="F439" s="3"/>
      <c r="G439" s="3"/>
      <c r="H439" s="3"/>
      <c r="I439" s="3"/>
      <c r="J439" s="3"/>
    </row>
    <row r="440" spans="6:10" ht="12.75" x14ac:dyDescent="0.2">
      <c r="F440" s="3"/>
      <c r="G440" s="3"/>
      <c r="H440" s="3"/>
      <c r="I440" s="3"/>
      <c r="J440" s="3"/>
    </row>
    <row r="441" spans="6:10" ht="12.75" x14ac:dyDescent="0.2">
      <c r="F441" s="3"/>
      <c r="G441" s="3"/>
      <c r="H441" s="3"/>
      <c r="I441" s="3"/>
      <c r="J441" s="3"/>
    </row>
    <row r="442" spans="6:10" ht="12.75" x14ac:dyDescent="0.2">
      <c r="F442" s="3"/>
      <c r="G442" s="3"/>
      <c r="H442" s="3"/>
      <c r="I442" s="3"/>
      <c r="J442" s="3"/>
    </row>
    <row r="443" spans="6:10" ht="12.75" x14ac:dyDescent="0.2">
      <c r="F443" s="3"/>
      <c r="G443" s="3"/>
      <c r="H443" s="3"/>
      <c r="I443" s="3"/>
      <c r="J443" s="3"/>
    </row>
    <row r="444" spans="6:10" ht="12.75" x14ac:dyDescent="0.2">
      <c r="F444" s="3"/>
      <c r="G444" s="3"/>
      <c r="H444" s="3"/>
      <c r="I444" s="3"/>
      <c r="J444" s="3"/>
    </row>
    <row r="445" spans="6:10" ht="12.75" x14ac:dyDescent="0.2">
      <c r="F445" s="3"/>
      <c r="G445" s="3"/>
      <c r="H445" s="3"/>
      <c r="I445" s="3"/>
      <c r="J445" s="3"/>
    </row>
    <row r="446" spans="6:10" ht="12.75" x14ac:dyDescent="0.2">
      <c r="F446" s="3"/>
      <c r="G446" s="3"/>
      <c r="H446" s="3"/>
      <c r="I446" s="3"/>
      <c r="J446" s="3"/>
    </row>
    <row r="447" spans="6:10" ht="12.75" x14ac:dyDescent="0.2">
      <c r="F447" s="3"/>
      <c r="G447" s="3"/>
      <c r="H447" s="3"/>
      <c r="I447" s="3"/>
      <c r="J447" s="3"/>
    </row>
    <row r="448" spans="6:10" ht="12.75" x14ac:dyDescent="0.2">
      <c r="F448" s="3"/>
      <c r="G448" s="3"/>
      <c r="H448" s="3"/>
      <c r="I448" s="3"/>
      <c r="J448" s="3"/>
    </row>
    <row r="449" spans="6:10" ht="12.75" x14ac:dyDescent="0.2">
      <c r="F449" s="3"/>
      <c r="G449" s="3"/>
      <c r="H449" s="3"/>
      <c r="I449" s="3"/>
      <c r="J449" s="3"/>
    </row>
    <row r="450" spans="6:10" ht="12.75" x14ac:dyDescent="0.2">
      <c r="F450" s="3"/>
      <c r="G450" s="3"/>
      <c r="H450" s="3"/>
      <c r="I450" s="3"/>
      <c r="J450" s="3"/>
    </row>
    <row r="451" spans="6:10" ht="12.75" x14ac:dyDescent="0.2">
      <c r="F451" s="3"/>
      <c r="G451" s="3"/>
      <c r="H451" s="3"/>
      <c r="I451" s="3"/>
      <c r="J451" s="3"/>
    </row>
    <row r="452" spans="6:10" ht="12.75" x14ac:dyDescent="0.2">
      <c r="F452" s="3"/>
      <c r="G452" s="3"/>
      <c r="H452" s="3"/>
      <c r="I452" s="3"/>
      <c r="J452" s="3"/>
    </row>
    <row r="453" spans="6:10" ht="12.75" x14ac:dyDescent="0.2">
      <c r="F453" s="3"/>
      <c r="G453" s="3"/>
      <c r="H453" s="3"/>
      <c r="I453" s="3"/>
      <c r="J453" s="3"/>
    </row>
    <row r="454" spans="6:10" ht="12.75" x14ac:dyDescent="0.2">
      <c r="F454" s="3"/>
      <c r="G454" s="3"/>
      <c r="H454" s="3"/>
      <c r="I454" s="3"/>
      <c r="J454" s="3"/>
    </row>
    <row r="455" spans="6:10" ht="12.75" x14ac:dyDescent="0.2">
      <c r="F455" s="3"/>
      <c r="G455" s="3"/>
      <c r="H455" s="3"/>
      <c r="I455" s="3"/>
      <c r="J455" s="3"/>
    </row>
    <row r="456" spans="6:10" ht="12.75" x14ac:dyDescent="0.2">
      <c r="F456" s="3"/>
      <c r="G456" s="3"/>
      <c r="H456" s="3"/>
      <c r="I456" s="3"/>
      <c r="J456" s="3"/>
    </row>
    <row r="457" spans="6:10" ht="12.75" x14ac:dyDescent="0.2">
      <c r="F457" s="3"/>
      <c r="G457" s="3"/>
      <c r="H457" s="3"/>
      <c r="I457" s="3"/>
      <c r="J457" s="3"/>
    </row>
    <row r="458" spans="6:10" ht="12.75" x14ac:dyDescent="0.2">
      <c r="F458" s="3"/>
      <c r="G458" s="3"/>
      <c r="H458" s="3"/>
      <c r="I458" s="3"/>
      <c r="J458" s="3"/>
    </row>
    <row r="459" spans="6:10" ht="12.75" x14ac:dyDescent="0.2">
      <c r="F459" s="3"/>
      <c r="G459" s="3"/>
      <c r="H459" s="3"/>
      <c r="I459" s="3"/>
      <c r="J459" s="3"/>
    </row>
    <row r="460" spans="6:10" ht="12.75" x14ac:dyDescent="0.2">
      <c r="F460" s="3"/>
      <c r="G460" s="3"/>
      <c r="H460" s="3"/>
      <c r="I460" s="3"/>
      <c r="J460" s="3"/>
    </row>
    <row r="461" spans="6:10" ht="12.75" x14ac:dyDescent="0.2">
      <c r="F461" s="3"/>
      <c r="G461" s="3"/>
      <c r="H461" s="3"/>
      <c r="I461" s="3"/>
      <c r="J461" s="3"/>
    </row>
    <row r="462" spans="6:10" ht="12.75" x14ac:dyDescent="0.2">
      <c r="F462" s="3"/>
      <c r="G462" s="3"/>
      <c r="H462" s="3"/>
      <c r="I462" s="3"/>
      <c r="J462" s="3"/>
    </row>
    <row r="463" spans="6:10" ht="12.75" x14ac:dyDescent="0.2">
      <c r="F463" s="3"/>
      <c r="G463" s="3"/>
      <c r="H463" s="3"/>
      <c r="I463" s="3"/>
      <c r="J463" s="3"/>
    </row>
    <row r="464" spans="6:10" ht="12.75" x14ac:dyDescent="0.2">
      <c r="F464" s="3"/>
      <c r="G464" s="3"/>
      <c r="H464" s="3"/>
      <c r="I464" s="3"/>
      <c r="J464" s="3"/>
    </row>
    <row r="465" spans="6:10" ht="12.75" x14ac:dyDescent="0.2">
      <c r="F465" s="3"/>
      <c r="G465" s="3"/>
      <c r="H465" s="3"/>
      <c r="I465" s="3"/>
      <c r="J465" s="3"/>
    </row>
    <row r="466" spans="6:10" ht="12.75" x14ac:dyDescent="0.2">
      <c r="F466" s="3"/>
      <c r="G466" s="3"/>
      <c r="H466" s="3"/>
      <c r="I466" s="3"/>
      <c r="J466" s="3"/>
    </row>
    <row r="467" spans="6:10" ht="12.75" x14ac:dyDescent="0.2">
      <c r="F467" s="3"/>
      <c r="G467" s="3"/>
      <c r="H467" s="3"/>
      <c r="I467" s="3"/>
      <c r="J467" s="3"/>
    </row>
    <row r="468" spans="6:10" ht="12.75" x14ac:dyDescent="0.2">
      <c r="F468" s="3"/>
      <c r="G468" s="3"/>
      <c r="H468" s="3"/>
      <c r="I468" s="3"/>
      <c r="J468" s="3"/>
    </row>
    <row r="469" spans="6:10" ht="12.75" x14ac:dyDescent="0.2">
      <c r="F469" s="3"/>
      <c r="G469" s="3"/>
      <c r="H469" s="3"/>
      <c r="I469" s="3"/>
      <c r="J469" s="3"/>
    </row>
    <row r="470" spans="6:10" ht="12.75" x14ac:dyDescent="0.2">
      <c r="F470" s="3"/>
      <c r="G470" s="3"/>
      <c r="H470" s="3"/>
      <c r="I470" s="3"/>
      <c r="J470" s="3"/>
    </row>
    <row r="471" spans="6:10" ht="12.75" x14ac:dyDescent="0.2">
      <c r="F471" s="3"/>
      <c r="G471" s="3"/>
      <c r="H471" s="3"/>
      <c r="I471" s="3"/>
      <c r="J471" s="3"/>
    </row>
    <row r="472" spans="6:10" ht="12.75" x14ac:dyDescent="0.2">
      <c r="F472" s="3"/>
      <c r="G472" s="3"/>
      <c r="H472" s="3"/>
      <c r="I472" s="3"/>
      <c r="J472" s="3"/>
    </row>
    <row r="473" spans="6:10" ht="12.75" x14ac:dyDescent="0.2">
      <c r="F473" s="3"/>
      <c r="G473" s="3"/>
      <c r="H473" s="3"/>
      <c r="I473" s="3"/>
      <c r="J473" s="3"/>
    </row>
    <row r="474" spans="6:10" ht="12.75" x14ac:dyDescent="0.2">
      <c r="F474" s="3"/>
      <c r="G474" s="3"/>
      <c r="H474" s="3"/>
      <c r="I474" s="3"/>
      <c r="J474" s="3"/>
    </row>
    <row r="475" spans="6:10" ht="12.75" x14ac:dyDescent="0.2">
      <c r="F475" s="3"/>
      <c r="G475" s="3"/>
      <c r="H475" s="3"/>
      <c r="I475" s="3"/>
      <c r="J475" s="3"/>
    </row>
    <row r="476" spans="6:10" ht="12.75" x14ac:dyDescent="0.2">
      <c r="F476" s="3"/>
      <c r="G476" s="3"/>
      <c r="H476" s="3"/>
      <c r="I476" s="3"/>
      <c r="J476" s="3"/>
    </row>
    <row r="477" spans="6:10" ht="12.75" x14ac:dyDescent="0.2">
      <c r="F477" s="3"/>
      <c r="G477" s="3"/>
      <c r="H477" s="3"/>
      <c r="I477" s="3"/>
      <c r="J477" s="3"/>
    </row>
    <row r="478" spans="6:10" ht="12.75" x14ac:dyDescent="0.2">
      <c r="F478" s="3"/>
      <c r="G478" s="3"/>
      <c r="H478" s="3"/>
      <c r="I478" s="3"/>
      <c r="J478" s="3"/>
    </row>
    <row r="479" spans="6:10" ht="12.75" x14ac:dyDescent="0.2">
      <c r="F479" s="3"/>
      <c r="G479" s="3"/>
      <c r="H479" s="3"/>
      <c r="I479" s="3"/>
      <c r="J479" s="3"/>
    </row>
    <row r="480" spans="6:10" ht="12.75" x14ac:dyDescent="0.2">
      <c r="F480" s="3"/>
      <c r="G480" s="3"/>
      <c r="H480" s="3"/>
      <c r="I480" s="3"/>
      <c r="J480" s="3"/>
    </row>
    <row r="481" spans="6:10" ht="12.75" x14ac:dyDescent="0.2">
      <c r="F481" s="3"/>
      <c r="G481" s="3"/>
      <c r="H481" s="3"/>
      <c r="I481" s="3"/>
      <c r="J481" s="3"/>
    </row>
    <row r="482" spans="6:10" ht="12.75" x14ac:dyDescent="0.2">
      <c r="F482" s="3"/>
      <c r="G482" s="3"/>
      <c r="H482" s="3"/>
      <c r="I482" s="3"/>
      <c r="J482" s="3"/>
    </row>
    <row r="483" spans="6:10" ht="12.75" x14ac:dyDescent="0.2">
      <c r="F483" s="3"/>
      <c r="G483" s="3"/>
      <c r="H483" s="3"/>
      <c r="I483" s="3"/>
      <c r="J483" s="3"/>
    </row>
    <row r="484" spans="6:10" ht="12.75" x14ac:dyDescent="0.2">
      <c r="F484" s="3"/>
      <c r="G484" s="3"/>
      <c r="H484" s="3"/>
      <c r="I484" s="3"/>
      <c r="J484" s="3"/>
    </row>
    <row r="485" spans="6:10" ht="12.75" x14ac:dyDescent="0.2">
      <c r="F485" s="3"/>
      <c r="G485" s="3"/>
      <c r="H485" s="3"/>
      <c r="I485" s="3"/>
      <c r="J485" s="3"/>
    </row>
    <row r="486" spans="6:10" ht="12.75" x14ac:dyDescent="0.2">
      <c r="F486" s="3"/>
      <c r="G486" s="3"/>
      <c r="H486" s="3"/>
      <c r="I486" s="3"/>
      <c r="J486" s="3"/>
    </row>
    <row r="487" spans="6:10" ht="12.75" x14ac:dyDescent="0.2">
      <c r="F487" s="3"/>
      <c r="G487" s="3"/>
      <c r="H487" s="3"/>
      <c r="I487" s="3"/>
      <c r="J487" s="3"/>
    </row>
    <row r="488" spans="6:10" ht="12.75" x14ac:dyDescent="0.2">
      <c r="F488" s="3"/>
      <c r="G488" s="3"/>
      <c r="H488" s="3"/>
      <c r="I488" s="3"/>
      <c r="J488" s="3"/>
    </row>
    <row r="489" spans="6:10" ht="12.75" x14ac:dyDescent="0.2">
      <c r="F489" s="3"/>
      <c r="G489" s="3"/>
      <c r="H489" s="3"/>
      <c r="I489" s="3"/>
      <c r="J489" s="3"/>
    </row>
    <row r="490" spans="6:10" ht="12.75" x14ac:dyDescent="0.2">
      <c r="F490" s="3"/>
      <c r="G490" s="3"/>
      <c r="H490" s="3"/>
      <c r="I490" s="3"/>
      <c r="J490" s="3"/>
    </row>
    <row r="491" spans="6:10" ht="12.75" x14ac:dyDescent="0.2">
      <c r="F491" s="3"/>
      <c r="G491" s="3"/>
      <c r="H491" s="3"/>
      <c r="I491" s="3"/>
      <c r="J491" s="3"/>
    </row>
    <row r="492" spans="6:10" ht="12.75" x14ac:dyDescent="0.2">
      <c r="F492" s="3"/>
      <c r="G492" s="3"/>
      <c r="H492" s="3"/>
      <c r="I492" s="3"/>
      <c r="J492" s="3"/>
    </row>
    <row r="493" spans="6:10" ht="12.75" x14ac:dyDescent="0.2">
      <c r="F493" s="3"/>
      <c r="G493" s="3"/>
      <c r="H493" s="3"/>
      <c r="I493" s="3"/>
      <c r="J493" s="3"/>
    </row>
    <row r="494" spans="6:10" ht="12.75" x14ac:dyDescent="0.2">
      <c r="F494" s="3"/>
      <c r="G494" s="3"/>
      <c r="H494" s="3"/>
      <c r="I494" s="3"/>
      <c r="J494" s="3"/>
    </row>
    <row r="495" spans="6:10" ht="12.75" x14ac:dyDescent="0.2">
      <c r="F495" s="3"/>
      <c r="G495" s="3"/>
      <c r="H495" s="3"/>
      <c r="I495" s="3"/>
      <c r="J495" s="3"/>
    </row>
    <row r="496" spans="6:10" ht="12.75" x14ac:dyDescent="0.2">
      <c r="F496" s="3"/>
      <c r="G496" s="3"/>
      <c r="H496" s="3"/>
      <c r="I496" s="3"/>
      <c r="J496" s="3"/>
    </row>
    <row r="497" spans="6:10" ht="12.75" x14ac:dyDescent="0.2">
      <c r="F497" s="3"/>
      <c r="G497" s="3"/>
      <c r="H497" s="3"/>
      <c r="I497" s="3"/>
      <c r="J497" s="3"/>
    </row>
    <row r="498" spans="6:10" ht="12.75" x14ac:dyDescent="0.2">
      <c r="F498" s="3"/>
      <c r="G498" s="3"/>
      <c r="H498" s="3"/>
      <c r="I498" s="3"/>
      <c r="J498" s="3"/>
    </row>
    <row r="499" spans="6:10" ht="12.75" x14ac:dyDescent="0.2">
      <c r="F499" s="3"/>
      <c r="G499" s="3"/>
      <c r="H499" s="3"/>
      <c r="I499" s="3"/>
      <c r="J499" s="3"/>
    </row>
    <row r="500" spans="6:10" ht="12.75" x14ac:dyDescent="0.2">
      <c r="F500" s="3"/>
      <c r="G500" s="3"/>
      <c r="H500" s="3"/>
      <c r="I500" s="3"/>
      <c r="J500" s="3"/>
    </row>
    <row r="501" spans="6:10" ht="12.75" x14ac:dyDescent="0.2">
      <c r="F501" s="3"/>
      <c r="G501" s="3"/>
      <c r="H501" s="3"/>
      <c r="I501" s="3"/>
      <c r="J501" s="3"/>
    </row>
    <row r="502" spans="6:10" ht="12.75" x14ac:dyDescent="0.2">
      <c r="F502" s="3"/>
      <c r="G502" s="3"/>
      <c r="H502" s="3"/>
      <c r="I502" s="3"/>
      <c r="J502" s="3"/>
    </row>
    <row r="503" spans="6:10" ht="12.75" x14ac:dyDescent="0.2">
      <c r="F503" s="3"/>
      <c r="G503" s="3"/>
      <c r="H503" s="3"/>
      <c r="I503" s="3"/>
      <c r="J503" s="3"/>
    </row>
    <row r="504" spans="6:10" ht="12.75" x14ac:dyDescent="0.2">
      <c r="F504" s="3"/>
      <c r="G504" s="3"/>
      <c r="H504" s="3"/>
      <c r="I504" s="3"/>
      <c r="J504" s="3"/>
    </row>
    <row r="505" spans="6:10" ht="12.75" x14ac:dyDescent="0.2">
      <c r="F505" s="3"/>
      <c r="G505" s="3"/>
      <c r="H505" s="3"/>
      <c r="I505" s="3"/>
      <c r="J505" s="3"/>
    </row>
    <row r="506" spans="6:10" ht="12.75" x14ac:dyDescent="0.2">
      <c r="F506" s="3"/>
      <c r="G506" s="3"/>
      <c r="H506" s="3"/>
      <c r="I506" s="3"/>
      <c r="J506" s="3"/>
    </row>
    <row r="507" spans="6:10" ht="12.75" x14ac:dyDescent="0.2">
      <c r="F507" s="3"/>
      <c r="G507" s="3"/>
      <c r="H507" s="3"/>
      <c r="I507" s="3"/>
      <c r="J507" s="3"/>
    </row>
    <row r="508" spans="6:10" ht="12.75" x14ac:dyDescent="0.2">
      <c r="F508" s="3"/>
      <c r="G508" s="3"/>
      <c r="H508" s="3"/>
      <c r="I508" s="3"/>
      <c r="J508" s="3"/>
    </row>
    <row r="509" spans="6:10" ht="12.75" x14ac:dyDescent="0.2">
      <c r="F509" s="3"/>
      <c r="G509" s="3"/>
      <c r="H509" s="3"/>
      <c r="I509" s="3"/>
      <c r="J509" s="3"/>
    </row>
    <row r="510" spans="6:10" ht="12.75" x14ac:dyDescent="0.2">
      <c r="F510" s="3"/>
      <c r="G510" s="3"/>
      <c r="H510" s="3"/>
      <c r="I510" s="3"/>
      <c r="J510" s="3"/>
    </row>
    <row r="511" spans="6:10" ht="12.75" x14ac:dyDescent="0.2">
      <c r="F511" s="3"/>
      <c r="G511" s="3"/>
      <c r="H511" s="3"/>
      <c r="I511" s="3"/>
      <c r="J511" s="3"/>
    </row>
    <row r="512" spans="6:10" ht="12.75" x14ac:dyDescent="0.2">
      <c r="F512" s="3"/>
      <c r="G512" s="3"/>
      <c r="H512" s="3"/>
      <c r="I512" s="3"/>
      <c r="J512" s="3"/>
    </row>
    <row r="513" spans="6:10" ht="12.75" x14ac:dyDescent="0.2">
      <c r="F513" s="3"/>
      <c r="G513" s="3"/>
      <c r="H513" s="3"/>
      <c r="I513" s="3"/>
      <c r="J513" s="3"/>
    </row>
    <row r="514" spans="6:10" ht="12.75" x14ac:dyDescent="0.2">
      <c r="F514" s="3"/>
      <c r="G514" s="3"/>
      <c r="H514" s="3"/>
      <c r="I514" s="3"/>
      <c r="J514" s="3"/>
    </row>
    <row r="515" spans="6:10" ht="12.75" x14ac:dyDescent="0.2">
      <c r="F515" s="3"/>
      <c r="G515" s="3"/>
      <c r="H515" s="3"/>
      <c r="I515" s="3"/>
      <c r="J515" s="3"/>
    </row>
    <row r="516" spans="6:10" ht="12.75" x14ac:dyDescent="0.2">
      <c r="F516" s="3"/>
      <c r="G516" s="3"/>
      <c r="H516" s="3"/>
      <c r="I516" s="3"/>
      <c r="J516" s="3"/>
    </row>
    <row r="517" spans="6:10" ht="12.75" x14ac:dyDescent="0.2">
      <c r="F517" s="3"/>
      <c r="G517" s="3"/>
      <c r="H517" s="3"/>
      <c r="I517" s="3"/>
      <c r="J517" s="3"/>
    </row>
    <row r="518" spans="6:10" ht="12.75" x14ac:dyDescent="0.2">
      <c r="F518" s="3"/>
      <c r="G518" s="3"/>
      <c r="H518" s="3"/>
      <c r="I518" s="3"/>
      <c r="J518" s="3"/>
    </row>
    <row r="519" spans="6:10" ht="12.75" x14ac:dyDescent="0.2">
      <c r="F519" s="3"/>
      <c r="G519" s="3"/>
      <c r="H519" s="3"/>
      <c r="I519" s="3"/>
      <c r="J519" s="3"/>
    </row>
    <row r="520" spans="6:10" ht="12.75" x14ac:dyDescent="0.2">
      <c r="F520" s="3"/>
      <c r="G520" s="3"/>
      <c r="H520" s="3"/>
      <c r="I520" s="3"/>
      <c r="J520" s="3"/>
    </row>
    <row r="521" spans="6:10" ht="12.75" x14ac:dyDescent="0.2">
      <c r="F521" s="3"/>
      <c r="G521" s="3"/>
      <c r="H521" s="3"/>
      <c r="I521" s="3"/>
      <c r="J521" s="3"/>
    </row>
    <row r="522" spans="6:10" ht="12.75" x14ac:dyDescent="0.2">
      <c r="F522" s="3"/>
      <c r="G522" s="3"/>
      <c r="H522" s="3"/>
      <c r="I522" s="3"/>
      <c r="J522" s="3"/>
    </row>
    <row r="523" spans="6:10" ht="12.75" x14ac:dyDescent="0.2">
      <c r="F523" s="3"/>
      <c r="G523" s="3"/>
      <c r="H523" s="3"/>
      <c r="I523" s="3"/>
      <c r="J523" s="3"/>
    </row>
    <row r="524" spans="6:10" ht="12.75" x14ac:dyDescent="0.2">
      <c r="F524" s="3"/>
      <c r="G524" s="3"/>
      <c r="H524" s="3"/>
      <c r="I524" s="3"/>
      <c r="J524" s="3"/>
    </row>
    <row r="525" spans="6:10" ht="12.75" x14ac:dyDescent="0.2">
      <c r="F525" s="3"/>
      <c r="G525" s="3"/>
      <c r="H525" s="3"/>
      <c r="I525" s="3"/>
      <c r="J525" s="3"/>
    </row>
    <row r="526" spans="6:10" ht="12.75" x14ac:dyDescent="0.2">
      <c r="F526" s="3"/>
      <c r="G526" s="3"/>
      <c r="H526" s="3"/>
      <c r="I526" s="3"/>
      <c r="J526" s="3"/>
    </row>
    <row r="527" spans="6:10" ht="12.75" x14ac:dyDescent="0.2">
      <c r="F527" s="3"/>
      <c r="G527" s="3"/>
      <c r="H527" s="3"/>
      <c r="I527" s="3"/>
      <c r="J527" s="3"/>
    </row>
    <row r="528" spans="6:10" ht="12.75" x14ac:dyDescent="0.2">
      <c r="F528" s="3"/>
      <c r="G528" s="3"/>
      <c r="H528" s="3"/>
      <c r="I528" s="3"/>
      <c r="J528" s="3"/>
    </row>
    <row r="529" spans="6:10" ht="12.75" x14ac:dyDescent="0.2">
      <c r="F529" s="3"/>
      <c r="G529" s="3"/>
      <c r="H529" s="3"/>
      <c r="I529" s="3"/>
      <c r="J529" s="3"/>
    </row>
    <row r="530" spans="6:10" ht="12.75" x14ac:dyDescent="0.2">
      <c r="F530" s="3"/>
      <c r="G530" s="3"/>
      <c r="H530" s="3"/>
      <c r="I530" s="3"/>
      <c r="J530" s="3"/>
    </row>
    <row r="531" spans="6:10" ht="12.75" x14ac:dyDescent="0.2">
      <c r="F531" s="3"/>
      <c r="G531" s="3"/>
      <c r="H531" s="3"/>
      <c r="I531" s="3"/>
      <c r="J531" s="3"/>
    </row>
    <row r="532" spans="6:10" ht="12.75" x14ac:dyDescent="0.2">
      <c r="F532" s="3"/>
      <c r="G532" s="3"/>
      <c r="H532" s="3"/>
      <c r="I532" s="3"/>
      <c r="J532" s="3"/>
    </row>
    <row r="533" spans="6:10" ht="12.75" x14ac:dyDescent="0.2">
      <c r="F533" s="3"/>
      <c r="G533" s="3"/>
      <c r="H533" s="3"/>
      <c r="I533" s="3"/>
      <c r="J533" s="3"/>
    </row>
    <row r="534" spans="6:10" ht="12.75" x14ac:dyDescent="0.2">
      <c r="F534" s="3"/>
      <c r="G534" s="3"/>
      <c r="H534" s="3"/>
      <c r="I534" s="3"/>
      <c r="J534" s="3"/>
    </row>
    <row r="535" spans="6:10" ht="12.75" x14ac:dyDescent="0.2">
      <c r="F535" s="3"/>
      <c r="G535" s="3"/>
      <c r="H535" s="3"/>
      <c r="I535" s="3"/>
      <c r="J535" s="3"/>
    </row>
    <row r="536" spans="6:10" ht="12.75" x14ac:dyDescent="0.2">
      <c r="F536" s="3"/>
      <c r="G536" s="3"/>
      <c r="H536" s="3"/>
      <c r="I536" s="3"/>
      <c r="J536" s="3"/>
    </row>
    <row r="537" spans="6:10" ht="12.75" x14ac:dyDescent="0.2">
      <c r="F537" s="3"/>
      <c r="G537" s="3"/>
      <c r="H537" s="3"/>
      <c r="I537" s="3"/>
      <c r="J537" s="3"/>
    </row>
    <row r="538" spans="6:10" ht="12.75" x14ac:dyDescent="0.2">
      <c r="F538" s="3"/>
      <c r="G538" s="3"/>
      <c r="H538" s="3"/>
      <c r="I538" s="3"/>
      <c r="J538" s="3"/>
    </row>
    <row r="539" spans="6:10" ht="12.75" x14ac:dyDescent="0.2">
      <c r="F539" s="3"/>
      <c r="G539" s="3"/>
      <c r="H539" s="3"/>
      <c r="I539" s="3"/>
      <c r="J539" s="3"/>
    </row>
    <row r="540" spans="6:10" ht="12.75" x14ac:dyDescent="0.2">
      <c r="F540" s="3"/>
      <c r="G540" s="3"/>
      <c r="H540" s="3"/>
      <c r="I540" s="3"/>
      <c r="J540" s="3"/>
    </row>
    <row r="541" spans="6:10" ht="12.75" x14ac:dyDescent="0.2">
      <c r="F541" s="3"/>
      <c r="G541" s="3"/>
      <c r="H541" s="3"/>
      <c r="I541" s="3"/>
      <c r="J541" s="3"/>
    </row>
    <row r="542" spans="6:10" ht="12.75" x14ac:dyDescent="0.2">
      <c r="F542" s="3"/>
      <c r="G542" s="3"/>
      <c r="H542" s="3"/>
      <c r="I542" s="3"/>
      <c r="J542" s="3"/>
    </row>
    <row r="543" spans="6:10" ht="12.75" x14ac:dyDescent="0.2">
      <c r="F543" s="3"/>
      <c r="G543" s="3"/>
      <c r="H543" s="3"/>
      <c r="I543" s="3"/>
      <c r="J543" s="3"/>
    </row>
    <row r="544" spans="6:10" ht="12.75" x14ac:dyDescent="0.2">
      <c r="F544" s="3"/>
      <c r="G544" s="3"/>
      <c r="H544" s="3"/>
      <c r="I544" s="3"/>
      <c r="J544" s="3"/>
    </row>
    <row r="545" spans="6:10" ht="12.75" x14ac:dyDescent="0.2">
      <c r="F545" s="3"/>
      <c r="G545" s="3"/>
      <c r="H545" s="3"/>
      <c r="I545" s="3"/>
      <c r="J545" s="3"/>
    </row>
    <row r="546" spans="6:10" ht="12.75" x14ac:dyDescent="0.2">
      <c r="F546" s="3"/>
      <c r="G546" s="3"/>
      <c r="H546" s="3"/>
      <c r="I546" s="3"/>
      <c r="J546" s="3"/>
    </row>
    <row r="547" spans="6:10" ht="12.75" x14ac:dyDescent="0.2">
      <c r="F547" s="3"/>
      <c r="G547" s="3"/>
      <c r="H547" s="3"/>
      <c r="I547" s="3"/>
      <c r="J547" s="3"/>
    </row>
    <row r="548" spans="6:10" ht="12.75" x14ac:dyDescent="0.2">
      <c r="F548" s="3"/>
      <c r="G548" s="3"/>
      <c r="H548" s="3"/>
      <c r="I548" s="3"/>
      <c r="J548" s="3"/>
    </row>
    <row r="549" spans="6:10" ht="12.75" x14ac:dyDescent="0.2">
      <c r="F549" s="3"/>
      <c r="G549" s="3"/>
      <c r="H549" s="3"/>
      <c r="I549" s="3"/>
      <c r="J549" s="3"/>
    </row>
    <row r="550" spans="6:10" ht="12.75" x14ac:dyDescent="0.2">
      <c r="F550" s="3"/>
      <c r="G550" s="3"/>
      <c r="H550" s="3"/>
      <c r="I550" s="3"/>
      <c r="J550" s="3"/>
    </row>
    <row r="551" spans="6:10" ht="12.75" x14ac:dyDescent="0.2">
      <c r="F551" s="3"/>
      <c r="G551" s="3"/>
      <c r="H551" s="3"/>
      <c r="I551" s="3"/>
      <c r="J551" s="3"/>
    </row>
    <row r="552" spans="6:10" ht="12.75" x14ac:dyDescent="0.2">
      <c r="F552" s="3"/>
      <c r="G552" s="3"/>
      <c r="H552" s="3"/>
      <c r="I552" s="3"/>
      <c r="J552" s="3"/>
    </row>
    <row r="553" spans="6:10" ht="12.75" x14ac:dyDescent="0.2">
      <c r="F553" s="3"/>
      <c r="G553" s="3"/>
      <c r="H553" s="3"/>
      <c r="I553" s="3"/>
      <c r="J553" s="3"/>
    </row>
    <row r="554" spans="6:10" ht="12.75" x14ac:dyDescent="0.2">
      <c r="F554" s="3"/>
      <c r="G554" s="3"/>
      <c r="H554" s="3"/>
      <c r="I554" s="3"/>
      <c r="J554" s="3"/>
    </row>
    <row r="555" spans="6:10" ht="12.75" x14ac:dyDescent="0.2">
      <c r="F555" s="3"/>
      <c r="G555" s="3"/>
      <c r="H555" s="3"/>
      <c r="I555" s="3"/>
      <c r="J555" s="3"/>
    </row>
    <row r="556" spans="6:10" ht="12.75" x14ac:dyDescent="0.2">
      <c r="F556" s="3"/>
      <c r="G556" s="3"/>
      <c r="H556" s="3"/>
      <c r="I556" s="3"/>
      <c r="J556" s="3"/>
    </row>
    <row r="557" spans="6:10" ht="12.75" x14ac:dyDescent="0.2">
      <c r="F557" s="3"/>
      <c r="G557" s="3"/>
      <c r="H557" s="3"/>
      <c r="I557" s="3"/>
      <c r="J557" s="3"/>
    </row>
    <row r="558" spans="6:10" ht="12.75" x14ac:dyDescent="0.2">
      <c r="F558" s="3"/>
      <c r="G558" s="3"/>
      <c r="H558" s="3"/>
      <c r="I558" s="3"/>
      <c r="J558" s="3"/>
    </row>
    <row r="559" spans="6:10" ht="12.75" x14ac:dyDescent="0.2">
      <c r="F559" s="3"/>
      <c r="G559" s="3"/>
      <c r="H559" s="3"/>
      <c r="I559" s="3"/>
      <c r="J559" s="3"/>
    </row>
    <row r="560" spans="6:10" ht="12.75" x14ac:dyDescent="0.2">
      <c r="F560" s="3"/>
      <c r="G560" s="3"/>
      <c r="H560" s="3"/>
      <c r="I560" s="3"/>
      <c r="J560" s="3"/>
    </row>
    <row r="561" spans="6:10" ht="12.75" x14ac:dyDescent="0.2">
      <c r="F561" s="3"/>
      <c r="G561" s="3"/>
      <c r="H561" s="3"/>
      <c r="I561" s="3"/>
      <c r="J561" s="3"/>
    </row>
    <row r="562" spans="6:10" ht="12.75" x14ac:dyDescent="0.2">
      <c r="F562" s="3"/>
      <c r="G562" s="3"/>
      <c r="H562" s="3"/>
      <c r="I562" s="3"/>
      <c r="J562" s="3"/>
    </row>
    <row r="563" spans="6:10" ht="12.75" x14ac:dyDescent="0.2">
      <c r="F563" s="3"/>
      <c r="G563" s="3"/>
      <c r="H563" s="3"/>
      <c r="I563" s="3"/>
      <c r="J563" s="3"/>
    </row>
    <row r="564" spans="6:10" ht="12.75" x14ac:dyDescent="0.2">
      <c r="F564" s="3"/>
      <c r="G564" s="3"/>
      <c r="H564" s="3"/>
      <c r="I564" s="3"/>
      <c r="J564" s="3"/>
    </row>
    <row r="565" spans="6:10" ht="12.75" x14ac:dyDescent="0.2">
      <c r="F565" s="3"/>
      <c r="G565" s="3"/>
      <c r="H565" s="3"/>
      <c r="I565" s="3"/>
      <c r="J565" s="3"/>
    </row>
    <row r="566" spans="6:10" ht="12.75" x14ac:dyDescent="0.2">
      <c r="F566" s="3"/>
      <c r="G566" s="3"/>
      <c r="H566" s="3"/>
      <c r="I566" s="3"/>
      <c r="J566" s="3"/>
    </row>
    <row r="567" spans="6:10" ht="12.75" x14ac:dyDescent="0.2">
      <c r="F567" s="3"/>
      <c r="G567" s="3"/>
      <c r="H567" s="3"/>
      <c r="I567" s="3"/>
      <c r="J567" s="3"/>
    </row>
    <row r="568" spans="6:10" ht="12.75" x14ac:dyDescent="0.2">
      <c r="F568" s="3"/>
      <c r="G568" s="3"/>
      <c r="H568" s="3"/>
      <c r="I568" s="3"/>
      <c r="J568" s="3"/>
    </row>
    <row r="569" spans="6:10" ht="12.75" x14ac:dyDescent="0.2">
      <c r="F569" s="3"/>
      <c r="G569" s="3"/>
      <c r="H569" s="3"/>
      <c r="I569" s="3"/>
      <c r="J569" s="3"/>
    </row>
    <row r="570" spans="6:10" ht="12.75" x14ac:dyDescent="0.2">
      <c r="F570" s="3"/>
      <c r="G570" s="3"/>
      <c r="H570" s="3"/>
      <c r="I570" s="3"/>
      <c r="J570" s="3"/>
    </row>
    <row r="571" spans="6:10" ht="12.75" x14ac:dyDescent="0.2">
      <c r="F571" s="3"/>
      <c r="G571" s="3"/>
      <c r="H571" s="3"/>
      <c r="I571" s="3"/>
      <c r="J571" s="3"/>
    </row>
    <row r="572" spans="6:10" ht="12.75" x14ac:dyDescent="0.2">
      <c r="F572" s="3"/>
      <c r="G572" s="3"/>
      <c r="H572" s="3"/>
      <c r="I572" s="3"/>
      <c r="J572" s="3"/>
    </row>
    <row r="573" spans="6:10" ht="12.75" x14ac:dyDescent="0.2">
      <c r="F573" s="3"/>
      <c r="G573" s="3"/>
      <c r="H573" s="3"/>
      <c r="I573" s="3"/>
      <c r="J573" s="3"/>
    </row>
    <row r="574" spans="6:10" ht="12.75" x14ac:dyDescent="0.2">
      <c r="F574" s="3"/>
      <c r="G574" s="3"/>
      <c r="H574" s="3"/>
      <c r="I574" s="3"/>
      <c r="J574" s="3"/>
    </row>
    <row r="575" spans="6:10" ht="12.75" x14ac:dyDescent="0.2">
      <c r="F575" s="3"/>
      <c r="G575" s="3"/>
      <c r="H575" s="3"/>
      <c r="I575" s="3"/>
      <c r="J575" s="3"/>
    </row>
    <row r="576" spans="6:10" ht="12.75" x14ac:dyDescent="0.2">
      <c r="F576" s="3"/>
      <c r="G576" s="3"/>
      <c r="H576" s="3"/>
      <c r="I576" s="3"/>
      <c r="J576" s="3"/>
    </row>
    <row r="577" spans="6:10" ht="12.75" x14ac:dyDescent="0.2">
      <c r="F577" s="3"/>
      <c r="G577" s="3"/>
      <c r="H577" s="3"/>
      <c r="I577" s="3"/>
      <c r="J577" s="3"/>
    </row>
    <row r="578" spans="6:10" ht="12.75" x14ac:dyDescent="0.2">
      <c r="F578" s="3"/>
      <c r="G578" s="3"/>
      <c r="H578" s="3"/>
      <c r="I578" s="3"/>
      <c r="J578" s="3"/>
    </row>
    <row r="579" spans="6:10" ht="12.75" x14ac:dyDescent="0.2">
      <c r="F579" s="3"/>
      <c r="G579" s="3"/>
      <c r="H579" s="3"/>
      <c r="I579" s="3"/>
      <c r="J579" s="3"/>
    </row>
    <row r="580" spans="6:10" ht="12.75" x14ac:dyDescent="0.2">
      <c r="F580" s="3"/>
      <c r="G580" s="3"/>
      <c r="H580" s="3"/>
      <c r="I580" s="3"/>
      <c r="J580" s="3"/>
    </row>
    <row r="581" spans="6:10" ht="12.75" x14ac:dyDescent="0.2">
      <c r="F581" s="3"/>
      <c r="G581" s="3"/>
      <c r="H581" s="3"/>
      <c r="I581" s="3"/>
      <c r="J581" s="3"/>
    </row>
    <row r="582" spans="6:10" ht="12.75" x14ac:dyDescent="0.2">
      <c r="F582" s="3"/>
      <c r="G582" s="3"/>
      <c r="H582" s="3"/>
      <c r="I582" s="3"/>
      <c r="J582" s="3"/>
    </row>
    <row r="583" spans="6:10" ht="12.75" x14ac:dyDescent="0.2">
      <c r="F583" s="3"/>
      <c r="G583" s="3"/>
      <c r="H583" s="3"/>
      <c r="I583" s="3"/>
      <c r="J583" s="3"/>
    </row>
    <row r="584" spans="6:10" ht="12.75" x14ac:dyDescent="0.2">
      <c r="F584" s="3"/>
      <c r="G584" s="3"/>
      <c r="H584" s="3"/>
      <c r="I584" s="3"/>
      <c r="J584" s="3"/>
    </row>
    <row r="585" spans="6:10" ht="12.75" x14ac:dyDescent="0.2">
      <c r="F585" s="3"/>
      <c r="G585" s="3"/>
      <c r="H585" s="3"/>
      <c r="I585" s="3"/>
      <c r="J585" s="3"/>
    </row>
    <row r="586" spans="6:10" ht="12.75" x14ac:dyDescent="0.2">
      <c r="F586" s="3"/>
      <c r="G586" s="3"/>
      <c r="H586" s="3"/>
      <c r="I586" s="3"/>
      <c r="J586" s="3"/>
    </row>
    <row r="587" spans="6:10" ht="12.75" x14ac:dyDescent="0.2">
      <c r="F587" s="3"/>
      <c r="G587" s="3"/>
      <c r="H587" s="3"/>
      <c r="I587" s="3"/>
      <c r="J587" s="3"/>
    </row>
    <row r="588" spans="6:10" ht="12.75" x14ac:dyDescent="0.2">
      <c r="F588" s="3"/>
      <c r="G588" s="3"/>
      <c r="H588" s="3"/>
      <c r="I588" s="3"/>
      <c r="J588" s="3"/>
    </row>
    <row r="589" spans="6:10" ht="12.75" x14ac:dyDescent="0.2">
      <c r="F589" s="3"/>
      <c r="G589" s="3"/>
      <c r="H589" s="3"/>
      <c r="I589" s="3"/>
      <c r="J589" s="3"/>
    </row>
    <row r="590" spans="6:10" ht="12.75" x14ac:dyDescent="0.2">
      <c r="F590" s="3"/>
      <c r="G590" s="3"/>
      <c r="H590" s="3"/>
      <c r="I590" s="3"/>
      <c r="J590" s="3"/>
    </row>
    <row r="591" spans="6:10" ht="12.75" x14ac:dyDescent="0.2">
      <c r="F591" s="3"/>
      <c r="G591" s="3"/>
      <c r="H591" s="3"/>
      <c r="I591" s="3"/>
      <c r="J591" s="3"/>
    </row>
    <row r="592" spans="6:10" ht="12.75" x14ac:dyDescent="0.2">
      <c r="F592" s="3"/>
      <c r="G592" s="3"/>
      <c r="H592" s="3"/>
      <c r="I592" s="3"/>
      <c r="J592" s="3"/>
    </row>
    <row r="593" spans="6:10" ht="12.75" x14ac:dyDescent="0.2">
      <c r="F593" s="3"/>
      <c r="G593" s="3"/>
      <c r="H593" s="3"/>
      <c r="I593" s="3"/>
      <c r="J593" s="3"/>
    </row>
    <row r="594" spans="6:10" ht="12.75" x14ac:dyDescent="0.2">
      <c r="F594" s="3"/>
      <c r="G594" s="3"/>
      <c r="H594" s="3"/>
      <c r="I594" s="3"/>
      <c r="J594" s="3"/>
    </row>
    <row r="595" spans="6:10" ht="12.75" x14ac:dyDescent="0.2">
      <c r="F595" s="3"/>
      <c r="G595" s="3"/>
      <c r="H595" s="3"/>
      <c r="I595" s="3"/>
      <c r="J595" s="3"/>
    </row>
    <row r="596" spans="6:10" ht="12.75" x14ac:dyDescent="0.2">
      <c r="F596" s="3"/>
      <c r="G596" s="3"/>
      <c r="H596" s="3"/>
      <c r="I596" s="3"/>
      <c r="J596" s="3"/>
    </row>
    <row r="597" spans="6:10" ht="12.75" x14ac:dyDescent="0.2">
      <c r="F597" s="3"/>
      <c r="G597" s="3"/>
      <c r="H597" s="3"/>
      <c r="I597" s="3"/>
      <c r="J597" s="3"/>
    </row>
    <row r="598" spans="6:10" ht="12.75" x14ac:dyDescent="0.2">
      <c r="F598" s="3"/>
      <c r="G598" s="3"/>
      <c r="H598" s="3"/>
      <c r="I598" s="3"/>
      <c r="J598" s="3"/>
    </row>
    <row r="599" spans="6:10" ht="12.75" x14ac:dyDescent="0.2">
      <c r="F599" s="3"/>
      <c r="G599" s="3"/>
      <c r="H599" s="3"/>
      <c r="I599" s="3"/>
      <c r="J599" s="3"/>
    </row>
    <row r="600" spans="6:10" ht="12.75" x14ac:dyDescent="0.2">
      <c r="F600" s="3"/>
      <c r="G600" s="3"/>
      <c r="H600" s="3"/>
      <c r="I600" s="3"/>
      <c r="J600" s="3"/>
    </row>
    <row r="601" spans="6:10" ht="12.75" x14ac:dyDescent="0.2">
      <c r="F601" s="3"/>
      <c r="G601" s="3"/>
      <c r="H601" s="3"/>
      <c r="I601" s="3"/>
      <c r="J601" s="3"/>
    </row>
    <row r="602" spans="6:10" ht="12.75" x14ac:dyDescent="0.2">
      <c r="F602" s="3"/>
      <c r="G602" s="3"/>
      <c r="H602" s="3"/>
      <c r="I602" s="3"/>
      <c r="J602" s="3"/>
    </row>
    <row r="603" spans="6:10" ht="12.75" x14ac:dyDescent="0.2">
      <c r="F603" s="3"/>
      <c r="G603" s="3"/>
      <c r="H603" s="3"/>
      <c r="I603" s="3"/>
      <c r="J603" s="3"/>
    </row>
    <row r="604" spans="6:10" ht="12.75" x14ac:dyDescent="0.2">
      <c r="F604" s="3"/>
      <c r="G604" s="3"/>
      <c r="H604" s="3"/>
      <c r="I604" s="3"/>
      <c r="J604" s="3"/>
    </row>
    <row r="605" spans="6:10" ht="12.75" x14ac:dyDescent="0.2">
      <c r="F605" s="3"/>
      <c r="G605" s="3"/>
      <c r="H605" s="3"/>
      <c r="I605" s="3"/>
      <c r="J605" s="3"/>
    </row>
    <row r="606" spans="6:10" ht="12.75" x14ac:dyDescent="0.2">
      <c r="F606" s="3"/>
      <c r="G606" s="3"/>
      <c r="H606" s="3"/>
      <c r="I606" s="3"/>
      <c r="J606" s="3"/>
    </row>
    <row r="607" spans="6:10" ht="12.75" x14ac:dyDescent="0.2">
      <c r="F607" s="3"/>
      <c r="G607" s="3"/>
      <c r="H607" s="3"/>
      <c r="I607" s="3"/>
      <c r="J607" s="3"/>
    </row>
    <row r="608" spans="6:10" ht="12.75" x14ac:dyDescent="0.2">
      <c r="F608" s="3"/>
      <c r="G608" s="3"/>
      <c r="H608" s="3"/>
      <c r="I608" s="3"/>
      <c r="J608" s="3"/>
    </row>
    <row r="609" spans="6:10" ht="12.75" x14ac:dyDescent="0.2">
      <c r="F609" s="3"/>
      <c r="G609" s="3"/>
      <c r="H609" s="3"/>
      <c r="I609" s="3"/>
      <c r="J609" s="3"/>
    </row>
    <row r="610" spans="6:10" ht="12.75" x14ac:dyDescent="0.2">
      <c r="F610" s="3"/>
      <c r="G610" s="3"/>
      <c r="H610" s="3"/>
      <c r="I610" s="3"/>
      <c r="J610" s="3"/>
    </row>
    <row r="611" spans="6:10" ht="12.75" x14ac:dyDescent="0.2">
      <c r="F611" s="3"/>
      <c r="G611" s="3"/>
      <c r="H611" s="3"/>
      <c r="I611" s="3"/>
      <c r="J611" s="3"/>
    </row>
    <row r="612" spans="6:10" ht="12.75" x14ac:dyDescent="0.2">
      <c r="F612" s="3"/>
      <c r="G612" s="3"/>
      <c r="H612" s="3"/>
      <c r="I612" s="3"/>
      <c r="J612" s="3"/>
    </row>
    <row r="613" spans="6:10" ht="12.75" x14ac:dyDescent="0.2">
      <c r="F613" s="3"/>
      <c r="G613" s="3"/>
      <c r="H613" s="3"/>
      <c r="I613" s="3"/>
      <c r="J613" s="3"/>
    </row>
    <row r="614" spans="6:10" ht="12.75" x14ac:dyDescent="0.2">
      <c r="F614" s="3"/>
      <c r="G614" s="3"/>
      <c r="H614" s="3"/>
      <c r="I614" s="3"/>
      <c r="J614" s="3"/>
    </row>
    <row r="615" spans="6:10" ht="12.75" x14ac:dyDescent="0.2">
      <c r="F615" s="3"/>
      <c r="G615" s="3"/>
      <c r="H615" s="3"/>
      <c r="I615" s="3"/>
      <c r="J615" s="3"/>
    </row>
    <row r="616" spans="6:10" ht="12.75" x14ac:dyDescent="0.2">
      <c r="F616" s="3"/>
      <c r="G616" s="3"/>
      <c r="H616" s="3"/>
      <c r="I616" s="3"/>
      <c r="J616" s="3"/>
    </row>
    <row r="617" spans="6:10" ht="12.75" x14ac:dyDescent="0.2">
      <c r="F617" s="3"/>
      <c r="G617" s="3"/>
      <c r="H617" s="3"/>
      <c r="I617" s="3"/>
      <c r="J617" s="3"/>
    </row>
    <row r="618" spans="6:10" ht="12.75" x14ac:dyDescent="0.2">
      <c r="F618" s="3"/>
      <c r="G618" s="3"/>
      <c r="H618" s="3"/>
      <c r="I618" s="3"/>
      <c r="J618" s="3"/>
    </row>
    <row r="619" spans="6:10" ht="12.75" x14ac:dyDescent="0.2">
      <c r="F619" s="3"/>
      <c r="G619" s="3"/>
      <c r="H619" s="3"/>
      <c r="I619" s="3"/>
      <c r="J619" s="3"/>
    </row>
    <row r="620" spans="6:10" ht="12.75" x14ac:dyDescent="0.2">
      <c r="F620" s="3"/>
      <c r="G620" s="3"/>
      <c r="H620" s="3"/>
      <c r="I620" s="3"/>
      <c r="J620" s="3"/>
    </row>
    <row r="621" spans="6:10" ht="12.75" x14ac:dyDescent="0.2">
      <c r="F621" s="3"/>
      <c r="G621" s="3"/>
      <c r="H621" s="3"/>
      <c r="I621" s="3"/>
      <c r="J621" s="3"/>
    </row>
    <row r="622" spans="6:10" ht="12.75" x14ac:dyDescent="0.2">
      <c r="F622" s="3"/>
      <c r="G622" s="3"/>
      <c r="H622" s="3"/>
      <c r="I622" s="3"/>
      <c r="J622" s="3"/>
    </row>
    <row r="623" spans="6:10" ht="12.75" x14ac:dyDescent="0.2">
      <c r="F623" s="3"/>
      <c r="G623" s="3"/>
      <c r="H623" s="3"/>
      <c r="I623" s="3"/>
      <c r="J623" s="3"/>
    </row>
    <row r="624" spans="6:10" ht="12.75" x14ac:dyDescent="0.2">
      <c r="F624" s="3"/>
      <c r="G624" s="3"/>
      <c r="H624" s="3"/>
      <c r="I624" s="3"/>
      <c r="J624" s="3"/>
    </row>
    <row r="625" spans="6:10" ht="12.75" x14ac:dyDescent="0.2">
      <c r="F625" s="3"/>
      <c r="G625" s="3"/>
      <c r="H625" s="3"/>
      <c r="I625" s="3"/>
      <c r="J625" s="3"/>
    </row>
    <row r="626" spans="6:10" ht="12.75" x14ac:dyDescent="0.2">
      <c r="F626" s="3"/>
      <c r="G626" s="3"/>
      <c r="H626" s="3"/>
      <c r="I626" s="3"/>
      <c r="J626" s="3"/>
    </row>
    <row r="627" spans="6:10" ht="12.75" x14ac:dyDescent="0.2">
      <c r="F627" s="3"/>
      <c r="G627" s="3"/>
      <c r="H627" s="3"/>
      <c r="I627" s="3"/>
      <c r="J627" s="3"/>
    </row>
    <row r="628" spans="6:10" ht="12.75" x14ac:dyDescent="0.2">
      <c r="F628" s="3"/>
      <c r="G628" s="3"/>
      <c r="H628" s="3"/>
      <c r="I628" s="3"/>
      <c r="J628" s="3"/>
    </row>
    <row r="629" spans="6:10" ht="12.75" x14ac:dyDescent="0.2">
      <c r="F629" s="3"/>
      <c r="G629" s="3"/>
      <c r="H629" s="3"/>
      <c r="I629" s="3"/>
      <c r="J629" s="3"/>
    </row>
    <row r="630" spans="6:10" ht="12.75" x14ac:dyDescent="0.2">
      <c r="F630" s="3"/>
      <c r="G630" s="3"/>
      <c r="H630" s="3"/>
      <c r="I630" s="3"/>
      <c r="J630" s="3"/>
    </row>
    <row r="631" spans="6:10" ht="12.75" x14ac:dyDescent="0.2">
      <c r="F631" s="3"/>
      <c r="G631" s="3"/>
      <c r="H631" s="3"/>
      <c r="I631" s="3"/>
      <c r="J631" s="3"/>
    </row>
    <row r="632" spans="6:10" ht="12.75" x14ac:dyDescent="0.2">
      <c r="F632" s="3"/>
      <c r="G632" s="3"/>
      <c r="H632" s="3"/>
      <c r="I632" s="3"/>
      <c r="J632" s="3"/>
    </row>
    <row r="633" spans="6:10" ht="12.75" x14ac:dyDescent="0.2">
      <c r="F633" s="3"/>
      <c r="G633" s="3"/>
      <c r="H633" s="3"/>
      <c r="I633" s="3"/>
      <c r="J633" s="3"/>
    </row>
    <row r="634" spans="6:10" ht="12.75" x14ac:dyDescent="0.2">
      <c r="F634" s="3"/>
      <c r="G634" s="3"/>
      <c r="H634" s="3"/>
      <c r="I634" s="3"/>
      <c r="J634" s="3"/>
    </row>
    <row r="635" spans="6:10" ht="12.75" x14ac:dyDescent="0.2">
      <c r="F635" s="3"/>
      <c r="G635" s="3"/>
      <c r="H635" s="3"/>
      <c r="I635" s="3"/>
      <c r="J635" s="3"/>
    </row>
    <row r="636" spans="6:10" ht="12.75" x14ac:dyDescent="0.2">
      <c r="F636" s="3"/>
      <c r="G636" s="3"/>
      <c r="H636" s="3"/>
      <c r="I636" s="3"/>
      <c r="J636" s="3"/>
    </row>
    <row r="637" spans="6:10" ht="12.75" x14ac:dyDescent="0.2">
      <c r="F637" s="3"/>
      <c r="G637" s="3"/>
      <c r="H637" s="3"/>
      <c r="I637" s="3"/>
      <c r="J637" s="3"/>
    </row>
    <row r="638" spans="6:10" ht="12.75" x14ac:dyDescent="0.2">
      <c r="F638" s="3"/>
      <c r="G638" s="3"/>
      <c r="H638" s="3"/>
      <c r="I638" s="3"/>
      <c r="J638" s="3"/>
    </row>
    <row r="639" spans="6:10" ht="12.75" x14ac:dyDescent="0.2">
      <c r="F639" s="3"/>
      <c r="G639" s="3"/>
      <c r="H639" s="3"/>
      <c r="I639" s="3"/>
      <c r="J639" s="3"/>
    </row>
    <row r="640" spans="6:10" ht="12.75" x14ac:dyDescent="0.2">
      <c r="F640" s="3"/>
      <c r="G640" s="3"/>
      <c r="H640" s="3"/>
      <c r="I640" s="3"/>
      <c r="J640" s="3"/>
    </row>
    <row r="641" spans="6:10" ht="12.75" x14ac:dyDescent="0.2">
      <c r="F641" s="3"/>
      <c r="G641" s="3"/>
      <c r="H641" s="3"/>
      <c r="I641" s="3"/>
      <c r="J641" s="3"/>
    </row>
    <row r="642" spans="6:10" ht="12.75" x14ac:dyDescent="0.2">
      <c r="F642" s="3"/>
      <c r="G642" s="3"/>
      <c r="H642" s="3"/>
      <c r="I642" s="3"/>
      <c r="J642" s="3"/>
    </row>
    <row r="643" spans="6:10" ht="12.75" x14ac:dyDescent="0.2">
      <c r="F643" s="3"/>
      <c r="G643" s="3"/>
      <c r="H643" s="3"/>
      <c r="I643" s="3"/>
      <c r="J643" s="3"/>
    </row>
    <row r="644" spans="6:10" ht="12.75" x14ac:dyDescent="0.2">
      <c r="F644" s="3"/>
      <c r="G644" s="3"/>
      <c r="H644" s="3"/>
      <c r="I644" s="3"/>
      <c r="J644" s="3"/>
    </row>
    <row r="645" spans="6:10" ht="12.75" x14ac:dyDescent="0.2">
      <c r="F645" s="3"/>
      <c r="G645" s="3"/>
      <c r="H645" s="3"/>
      <c r="I645" s="3"/>
      <c r="J645" s="3"/>
    </row>
    <row r="646" spans="6:10" ht="12.75" x14ac:dyDescent="0.2">
      <c r="F646" s="3"/>
      <c r="G646" s="3"/>
      <c r="H646" s="3"/>
      <c r="I646" s="3"/>
      <c r="J646" s="3"/>
    </row>
    <row r="647" spans="6:10" ht="12.75" x14ac:dyDescent="0.2">
      <c r="F647" s="3"/>
      <c r="G647" s="3"/>
      <c r="H647" s="3"/>
      <c r="I647" s="3"/>
      <c r="J647" s="3"/>
    </row>
    <row r="648" spans="6:10" ht="12.75" x14ac:dyDescent="0.2">
      <c r="F648" s="3"/>
      <c r="G648" s="3"/>
      <c r="H648" s="3"/>
      <c r="I648" s="3"/>
      <c r="J648" s="3"/>
    </row>
    <row r="649" spans="6:10" ht="12.75" x14ac:dyDescent="0.2">
      <c r="F649" s="3"/>
      <c r="G649" s="3"/>
      <c r="H649" s="3"/>
      <c r="I649" s="3"/>
      <c r="J649" s="3"/>
    </row>
    <row r="650" spans="6:10" ht="12.75" x14ac:dyDescent="0.2">
      <c r="F650" s="3"/>
      <c r="G650" s="3"/>
      <c r="H650" s="3"/>
      <c r="I650" s="3"/>
      <c r="J650" s="3"/>
    </row>
    <row r="651" spans="6:10" ht="12.75" x14ac:dyDescent="0.2">
      <c r="F651" s="3"/>
      <c r="G651" s="3"/>
      <c r="H651" s="3"/>
      <c r="I651" s="3"/>
      <c r="J651" s="3"/>
    </row>
    <row r="652" spans="6:10" ht="12.75" x14ac:dyDescent="0.2">
      <c r="F652" s="3"/>
      <c r="G652" s="3"/>
      <c r="H652" s="3"/>
      <c r="I652" s="3"/>
      <c r="J652" s="3"/>
    </row>
    <row r="653" spans="6:10" ht="12.75" x14ac:dyDescent="0.2">
      <c r="F653" s="3"/>
      <c r="G653" s="3"/>
      <c r="H653" s="3"/>
      <c r="I653" s="3"/>
      <c r="J653" s="3"/>
    </row>
    <row r="654" spans="6:10" ht="12.75" x14ac:dyDescent="0.2">
      <c r="F654" s="3"/>
      <c r="G654" s="3"/>
      <c r="H654" s="3"/>
      <c r="I654" s="3"/>
      <c r="J654" s="3"/>
    </row>
    <row r="655" spans="6:10" ht="12.75" x14ac:dyDescent="0.2">
      <c r="F655" s="3"/>
      <c r="G655" s="3"/>
      <c r="H655" s="3"/>
      <c r="I655" s="3"/>
      <c r="J655" s="3"/>
    </row>
    <row r="656" spans="6:10" ht="12.75" x14ac:dyDescent="0.2">
      <c r="F656" s="3"/>
      <c r="G656" s="3"/>
      <c r="H656" s="3"/>
      <c r="I656" s="3"/>
      <c r="J656" s="3"/>
    </row>
    <row r="657" spans="6:10" ht="12.75" x14ac:dyDescent="0.2">
      <c r="F657" s="3"/>
      <c r="G657" s="3"/>
      <c r="H657" s="3"/>
      <c r="I657" s="3"/>
      <c r="J657" s="3"/>
    </row>
    <row r="658" spans="6:10" ht="12.75" x14ac:dyDescent="0.2">
      <c r="F658" s="3"/>
      <c r="G658" s="3"/>
      <c r="H658" s="3"/>
      <c r="I658" s="3"/>
      <c r="J658" s="3"/>
    </row>
    <row r="659" spans="6:10" ht="12.75" x14ac:dyDescent="0.2">
      <c r="F659" s="3"/>
      <c r="G659" s="3"/>
      <c r="H659" s="3"/>
      <c r="I659" s="3"/>
      <c r="J659" s="3"/>
    </row>
    <row r="660" spans="6:10" ht="12.75" x14ac:dyDescent="0.2">
      <c r="F660" s="3"/>
      <c r="G660" s="3"/>
      <c r="H660" s="3"/>
      <c r="I660" s="3"/>
      <c r="J660" s="3"/>
    </row>
    <row r="661" spans="6:10" ht="12.75" x14ac:dyDescent="0.2">
      <c r="F661" s="3"/>
      <c r="G661" s="3"/>
      <c r="H661" s="3"/>
      <c r="I661" s="3"/>
      <c r="J661" s="3"/>
    </row>
    <row r="662" spans="6:10" ht="12.75" x14ac:dyDescent="0.2">
      <c r="F662" s="3"/>
      <c r="G662" s="3"/>
      <c r="H662" s="3"/>
      <c r="I662" s="3"/>
      <c r="J662" s="3"/>
    </row>
    <row r="663" spans="6:10" ht="12.75" x14ac:dyDescent="0.2">
      <c r="F663" s="3"/>
      <c r="G663" s="3"/>
      <c r="H663" s="3"/>
      <c r="I663" s="3"/>
      <c r="J663" s="3"/>
    </row>
    <row r="664" spans="6:10" ht="12.75" x14ac:dyDescent="0.2">
      <c r="F664" s="3"/>
      <c r="G664" s="3"/>
      <c r="H664" s="3"/>
      <c r="I664" s="3"/>
      <c r="J664" s="3"/>
    </row>
    <row r="665" spans="6:10" ht="12.75" x14ac:dyDescent="0.2">
      <c r="F665" s="3"/>
      <c r="G665" s="3"/>
      <c r="H665" s="3"/>
      <c r="I665" s="3"/>
      <c r="J665" s="3"/>
    </row>
    <row r="666" spans="6:10" ht="12.75" x14ac:dyDescent="0.2">
      <c r="F666" s="3"/>
      <c r="G666" s="3"/>
      <c r="H666" s="3"/>
      <c r="I666" s="3"/>
      <c r="J666" s="3"/>
    </row>
    <row r="667" spans="6:10" ht="12.75" x14ac:dyDescent="0.2">
      <c r="F667" s="3"/>
      <c r="G667" s="3"/>
      <c r="H667" s="3"/>
      <c r="I667" s="3"/>
      <c r="J667" s="3"/>
    </row>
    <row r="668" spans="6:10" ht="12.75" x14ac:dyDescent="0.2">
      <c r="F668" s="3"/>
      <c r="G668" s="3"/>
      <c r="H668" s="3"/>
      <c r="I668" s="3"/>
      <c r="J668" s="3"/>
    </row>
    <row r="669" spans="6:10" ht="12.75" x14ac:dyDescent="0.2">
      <c r="F669" s="3"/>
      <c r="G669" s="3"/>
      <c r="H669" s="3"/>
      <c r="I669" s="3"/>
      <c r="J669" s="3"/>
    </row>
    <row r="670" spans="6:10" ht="12.75" x14ac:dyDescent="0.2">
      <c r="F670" s="3"/>
      <c r="G670" s="3"/>
      <c r="H670" s="3"/>
      <c r="I670" s="3"/>
      <c r="J670" s="3"/>
    </row>
    <row r="671" spans="6:10" ht="12.75" x14ac:dyDescent="0.2">
      <c r="F671" s="3"/>
      <c r="G671" s="3"/>
      <c r="H671" s="3"/>
      <c r="I671" s="3"/>
      <c r="J671" s="3"/>
    </row>
    <row r="672" spans="6:10" ht="12.75" x14ac:dyDescent="0.2">
      <c r="F672" s="3"/>
      <c r="G672" s="3"/>
      <c r="H672" s="3"/>
      <c r="I672" s="3"/>
      <c r="J672" s="3"/>
    </row>
    <row r="673" spans="6:10" ht="12.75" x14ac:dyDescent="0.2">
      <c r="F673" s="3"/>
      <c r="G673" s="3"/>
      <c r="H673" s="3"/>
      <c r="I673" s="3"/>
      <c r="J673" s="3"/>
    </row>
    <row r="674" spans="6:10" ht="12.75" x14ac:dyDescent="0.2">
      <c r="F674" s="3"/>
      <c r="G674" s="3"/>
      <c r="H674" s="3"/>
      <c r="I674" s="3"/>
      <c r="J674" s="3"/>
    </row>
    <row r="675" spans="6:10" ht="12.75" x14ac:dyDescent="0.2">
      <c r="F675" s="3"/>
      <c r="G675" s="3"/>
      <c r="H675" s="3"/>
      <c r="I675" s="3"/>
      <c r="J675" s="3"/>
    </row>
    <row r="676" spans="6:10" ht="12.75" x14ac:dyDescent="0.2">
      <c r="F676" s="3"/>
      <c r="G676" s="3"/>
      <c r="H676" s="3"/>
      <c r="I676" s="3"/>
      <c r="J676" s="3"/>
    </row>
    <row r="677" spans="6:10" ht="12.75" x14ac:dyDescent="0.2">
      <c r="F677" s="3"/>
      <c r="G677" s="3"/>
      <c r="H677" s="3"/>
      <c r="I677" s="3"/>
      <c r="J677" s="3"/>
    </row>
    <row r="678" spans="6:10" ht="12.75" x14ac:dyDescent="0.2">
      <c r="F678" s="3"/>
      <c r="G678" s="3"/>
      <c r="H678" s="3"/>
      <c r="I678" s="3"/>
      <c r="J678" s="3"/>
    </row>
    <row r="679" spans="6:10" ht="12.75" x14ac:dyDescent="0.2">
      <c r="F679" s="3"/>
      <c r="G679" s="3"/>
      <c r="H679" s="3"/>
      <c r="I679" s="3"/>
      <c r="J679" s="3"/>
    </row>
    <row r="680" spans="6:10" ht="12.75" x14ac:dyDescent="0.2">
      <c r="F680" s="3"/>
      <c r="G680" s="3"/>
      <c r="H680" s="3"/>
      <c r="I680" s="3"/>
      <c r="J680" s="3"/>
    </row>
    <row r="681" spans="6:10" ht="12.75" x14ac:dyDescent="0.2">
      <c r="F681" s="3"/>
      <c r="G681" s="3"/>
      <c r="H681" s="3"/>
      <c r="I681" s="3"/>
      <c r="J681" s="3"/>
    </row>
    <row r="682" spans="6:10" ht="12.75" x14ac:dyDescent="0.2">
      <c r="F682" s="3"/>
      <c r="G682" s="3"/>
      <c r="H682" s="3"/>
      <c r="I682" s="3"/>
      <c r="J682" s="3"/>
    </row>
    <row r="683" spans="6:10" ht="12.75" x14ac:dyDescent="0.2">
      <c r="F683" s="3"/>
      <c r="G683" s="3"/>
      <c r="H683" s="3"/>
      <c r="I683" s="3"/>
      <c r="J683" s="3"/>
    </row>
    <row r="684" spans="6:10" ht="12.75" x14ac:dyDescent="0.2">
      <c r="F684" s="3"/>
      <c r="G684" s="3"/>
      <c r="H684" s="3"/>
      <c r="I684" s="3"/>
      <c r="J684" s="3"/>
    </row>
    <row r="685" spans="6:10" ht="12.75" x14ac:dyDescent="0.2">
      <c r="F685" s="3"/>
      <c r="G685" s="3"/>
      <c r="H685" s="3"/>
      <c r="I685" s="3"/>
      <c r="J685" s="3"/>
    </row>
    <row r="686" spans="6:10" ht="12.75" x14ac:dyDescent="0.2">
      <c r="F686" s="3"/>
      <c r="G686" s="3"/>
      <c r="H686" s="3"/>
      <c r="I686" s="3"/>
      <c r="J686" s="3"/>
    </row>
    <row r="687" spans="6:10" ht="12.75" x14ac:dyDescent="0.2">
      <c r="F687" s="3"/>
      <c r="G687" s="3"/>
      <c r="H687" s="3"/>
      <c r="I687" s="3"/>
      <c r="J687" s="3"/>
    </row>
    <row r="688" spans="6:10" ht="12.75" x14ac:dyDescent="0.2">
      <c r="F688" s="3"/>
      <c r="G688" s="3"/>
      <c r="H688" s="3"/>
      <c r="I688" s="3"/>
      <c r="J688" s="3"/>
    </row>
    <row r="689" spans="6:10" ht="12.75" x14ac:dyDescent="0.2">
      <c r="F689" s="3"/>
      <c r="G689" s="3"/>
      <c r="H689" s="3"/>
      <c r="I689" s="3"/>
      <c r="J689" s="3"/>
    </row>
    <row r="690" spans="6:10" ht="12.75" x14ac:dyDescent="0.2">
      <c r="F690" s="3"/>
      <c r="G690" s="3"/>
      <c r="H690" s="3"/>
      <c r="I690" s="3"/>
      <c r="J690" s="3"/>
    </row>
    <row r="691" spans="6:10" ht="12.75" x14ac:dyDescent="0.2">
      <c r="F691" s="3"/>
      <c r="G691" s="3"/>
      <c r="H691" s="3"/>
      <c r="I691" s="3"/>
      <c r="J691" s="3"/>
    </row>
    <row r="692" spans="6:10" ht="12.75" x14ac:dyDescent="0.2">
      <c r="F692" s="3"/>
      <c r="G692" s="3"/>
      <c r="H692" s="3"/>
      <c r="I692" s="3"/>
      <c r="J692" s="3"/>
    </row>
    <row r="693" spans="6:10" ht="12.75" x14ac:dyDescent="0.2">
      <c r="F693" s="3"/>
      <c r="G693" s="3"/>
      <c r="H693" s="3"/>
      <c r="I693" s="3"/>
      <c r="J693" s="3"/>
    </row>
    <row r="694" spans="6:10" ht="12.75" x14ac:dyDescent="0.2">
      <c r="F694" s="3"/>
      <c r="G694" s="3"/>
      <c r="H694" s="3"/>
      <c r="I694" s="3"/>
      <c r="J694" s="3"/>
    </row>
    <row r="695" spans="6:10" ht="12.75" x14ac:dyDescent="0.2">
      <c r="F695" s="3"/>
      <c r="G695" s="3"/>
      <c r="H695" s="3"/>
      <c r="I695" s="3"/>
      <c r="J695" s="3"/>
    </row>
    <row r="696" spans="6:10" ht="12.75" x14ac:dyDescent="0.2">
      <c r="F696" s="3"/>
      <c r="G696" s="3"/>
      <c r="H696" s="3"/>
      <c r="I696" s="3"/>
      <c r="J696" s="3"/>
    </row>
    <row r="697" spans="6:10" ht="12.75" x14ac:dyDescent="0.2">
      <c r="F697" s="3"/>
      <c r="G697" s="3"/>
      <c r="H697" s="3"/>
      <c r="I697" s="3"/>
      <c r="J697" s="3"/>
    </row>
    <row r="698" spans="6:10" ht="12.75" x14ac:dyDescent="0.2">
      <c r="F698" s="3"/>
      <c r="G698" s="3"/>
      <c r="H698" s="3"/>
      <c r="I698" s="3"/>
      <c r="J698" s="3"/>
    </row>
    <row r="699" spans="6:10" ht="12.75" x14ac:dyDescent="0.2">
      <c r="F699" s="3"/>
      <c r="G699" s="3"/>
      <c r="H699" s="3"/>
      <c r="I699" s="3"/>
      <c r="J699" s="3"/>
    </row>
    <row r="700" spans="6:10" ht="12.75" x14ac:dyDescent="0.2">
      <c r="F700" s="3"/>
      <c r="G700" s="3"/>
      <c r="H700" s="3"/>
      <c r="I700" s="3"/>
      <c r="J700" s="3"/>
    </row>
    <row r="701" spans="6:10" ht="12.75" x14ac:dyDescent="0.2">
      <c r="F701" s="3"/>
      <c r="G701" s="3"/>
      <c r="H701" s="3"/>
      <c r="I701" s="3"/>
      <c r="J701" s="3"/>
    </row>
    <row r="702" spans="6:10" ht="12.75" x14ac:dyDescent="0.2">
      <c r="F702" s="3"/>
      <c r="G702" s="3"/>
      <c r="H702" s="3"/>
      <c r="I702" s="3"/>
      <c r="J702" s="3"/>
    </row>
    <row r="703" spans="6:10" ht="12.75" x14ac:dyDescent="0.2">
      <c r="F703" s="3"/>
      <c r="G703" s="3"/>
      <c r="H703" s="3"/>
      <c r="I703" s="3"/>
      <c r="J703" s="3"/>
    </row>
    <row r="704" spans="6:10" ht="12.75" x14ac:dyDescent="0.2">
      <c r="F704" s="3"/>
      <c r="G704" s="3"/>
      <c r="H704" s="3"/>
      <c r="I704" s="3"/>
      <c r="J704" s="3"/>
    </row>
    <row r="705" spans="6:10" ht="12.75" x14ac:dyDescent="0.2">
      <c r="F705" s="3"/>
      <c r="G705" s="3"/>
      <c r="H705" s="3"/>
      <c r="I705" s="3"/>
      <c r="J705" s="3"/>
    </row>
    <row r="706" spans="6:10" ht="12.75" x14ac:dyDescent="0.2">
      <c r="F706" s="3"/>
      <c r="G706" s="3"/>
      <c r="H706" s="3"/>
      <c r="I706" s="3"/>
      <c r="J706" s="3"/>
    </row>
    <row r="707" spans="6:10" ht="12.75" x14ac:dyDescent="0.2">
      <c r="F707" s="3"/>
      <c r="G707" s="3"/>
      <c r="H707" s="3"/>
      <c r="I707" s="3"/>
      <c r="J707" s="3"/>
    </row>
    <row r="708" spans="6:10" ht="12.75" x14ac:dyDescent="0.2">
      <c r="F708" s="3"/>
      <c r="G708" s="3"/>
      <c r="H708" s="3"/>
      <c r="I708" s="3"/>
      <c r="J708" s="3"/>
    </row>
    <row r="709" spans="6:10" ht="12.75" x14ac:dyDescent="0.2">
      <c r="F709" s="3"/>
      <c r="G709" s="3"/>
      <c r="H709" s="3"/>
      <c r="I709" s="3"/>
      <c r="J709" s="3"/>
    </row>
    <row r="710" spans="6:10" ht="12.75" x14ac:dyDescent="0.2">
      <c r="F710" s="3"/>
      <c r="G710" s="3"/>
      <c r="H710" s="3"/>
      <c r="I710" s="3"/>
      <c r="J710" s="3"/>
    </row>
    <row r="711" spans="6:10" ht="12.75" x14ac:dyDescent="0.2">
      <c r="F711" s="3"/>
      <c r="G711" s="3"/>
      <c r="H711" s="3"/>
      <c r="I711" s="3"/>
      <c r="J711" s="3"/>
    </row>
    <row r="712" spans="6:10" ht="12.75" x14ac:dyDescent="0.2">
      <c r="F712" s="3"/>
      <c r="G712" s="3"/>
      <c r="H712" s="3"/>
      <c r="I712" s="3"/>
      <c r="J712" s="3"/>
    </row>
    <row r="713" spans="6:10" ht="12.75" x14ac:dyDescent="0.2">
      <c r="F713" s="3"/>
      <c r="G713" s="3"/>
      <c r="H713" s="3"/>
      <c r="I713" s="3"/>
      <c r="J713" s="3"/>
    </row>
    <row r="714" spans="6:10" ht="12.75" x14ac:dyDescent="0.2">
      <c r="F714" s="3"/>
      <c r="G714" s="3"/>
      <c r="H714" s="3"/>
      <c r="I714" s="3"/>
      <c r="J714" s="3"/>
    </row>
    <row r="715" spans="6:10" ht="12.75" x14ac:dyDescent="0.2">
      <c r="F715" s="3"/>
      <c r="G715" s="3"/>
      <c r="H715" s="3"/>
      <c r="I715" s="3"/>
      <c r="J715" s="3"/>
    </row>
    <row r="716" spans="6:10" ht="12.75" x14ac:dyDescent="0.2">
      <c r="F716" s="3"/>
      <c r="G716" s="3"/>
      <c r="H716" s="3"/>
      <c r="I716" s="3"/>
      <c r="J716" s="3"/>
    </row>
    <row r="717" spans="6:10" ht="12.75" x14ac:dyDescent="0.2">
      <c r="F717" s="3"/>
      <c r="G717" s="3"/>
      <c r="H717" s="3"/>
      <c r="I717" s="3"/>
      <c r="J717" s="3"/>
    </row>
    <row r="718" spans="6:10" ht="12.75" x14ac:dyDescent="0.2">
      <c r="F718" s="3"/>
      <c r="G718" s="3"/>
      <c r="H718" s="3"/>
      <c r="I718" s="3"/>
      <c r="J718" s="3"/>
    </row>
    <row r="719" spans="6:10" ht="12.75" x14ac:dyDescent="0.2">
      <c r="F719" s="3"/>
      <c r="G719" s="3"/>
      <c r="H719" s="3"/>
      <c r="I719" s="3"/>
      <c r="J719" s="3"/>
    </row>
    <row r="720" spans="6:10" ht="12.75" x14ac:dyDescent="0.2">
      <c r="F720" s="3"/>
      <c r="G720" s="3"/>
      <c r="H720" s="3"/>
      <c r="I720" s="3"/>
      <c r="J720" s="3"/>
    </row>
    <row r="721" spans="6:10" ht="12.75" x14ac:dyDescent="0.2">
      <c r="F721" s="3"/>
      <c r="G721" s="3"/>
      <c r="H721" s="3"/>
      <c r="I721" s="3"/>
      <c r="J721" s="3"/>
    </row>
    <row r="722" spans="6:10" ht="12.75" x14ac:dyDescent="0.2">
      <c r="F722" s="3"/>
      <c r="G722" s="3"/>
      <c r="H722" s="3"/>
      <c r="I722" s="3"/>
      <c r="J722" s="3"/>
    </row>
    <row r="723" spans="6:10" ht="12.75" x14ac:dyDescent="0.2">
      <c r="F723" s="3"/>
      <c r="G723" s="3"/>
      <c r="H723" s="3"/>
      <c r="I723" s="3"/>
      <c r="J723" s="3"/>
    </row>
    <row r="724" spans="6:10" ht="12.75" x14ac:dyDescent="0.2">
      <c r="F724" s="3"/>
      <c r="G724" s="3"/>
      <c r="H724" s="3"/>
      <c r="I724" s="3"/>
      <c r="J724" s="3"/>
    </row>
    <row r="725" spans="6:10" ht="12.75" x14ac:dyDescent="0.2">
      <c r="F725" s="3"/>
      <c r="G725" s="3"/>
      <c r="H725" s="3"/>
      <c r="I725" s="3"/>
      <c r="J725" s="3"/>
    </row>
    <row r="726" spans="6:10" ht="12.75" x14ac:dyDescent="0.2">
      <c r="F726" s="3"/>
      <c r="G726" s="3"/>
      <c r="H726" s="3"/>
      <c r="I726" s="3"/>
      <c r="J726" s="3"/>
    </row>
    <row r="727" spans="6:10" ht="12.75" x14ac:dyDescent="0.2">
      <c r="F727" s="3"/>
      <c r="G727" s="3"/>
      <c r="H727" s="3"/>
      <c r="I727" s="3"/>
      <c r="J727" s="3"/>
    </row>
    <row r="728" spans="6:10" ht="12.75" x14ac:dyDescent="0.2">
      <c r="F728" s="3"/>
      <c r="G728" s="3"/>
      <c r="H728" s="3"/>
      <c r="I728" s="3"/>
      <c r="J728" s="3"/>
    </row>
    <row r="729" spans="6:10" ht="12.75" x14ac:dyDescent="0.2">
      <c r="F729" s="3"/>
      <c r="G729" s="3"/>
      <c r="H729" s="3"/>
      <c r="I729" s="3"/>
      <c r="J729" s="3"/>
    </row>
    <row r="730" spans="6:10" ht="12.75" x14ac:dyDescent="0.2">
      <c r="F730" s="3"/>
      <c r="G730" s="3"/>
      <c r="H730" s="3"/>
      <c r="I730" s="3"/>
      <c r="J730" s="3"/>
    </row>
    <row r="731" spans="6:10" ht="12.75" x14ac:dyDescent="0.2">
      <c r="F731" s="3"/>
      <c r="G731" s="3"/>
      <c r="H731" s="3"/>
      <c r="I731" s="3"/>
      <c r="J731" s="3"/>
    </row>
    <row r="732" spans="6:10" ht="12.75" x14ac:dyDescent="0.2">
      <c r="F732" s="3"/>
      <c r="G732" s="3"/>
      <c r="H732" s="3"/>
      <c r="I732" s="3"/>
      <c r="J732" s="3"/>
    </row>
    <row r="733" spans="6:10" ht="12.75" x14ac:dyDescent="0.2">
      <c r="F733" s="3"/>
      <c r="G733" s="3"/>
      <c r="H733" s="3"/>
      <c r="I733" s="3"/>
      <c r="J733" s="3"/>
    </row>
    <row r="734" spans="6:10" ht="12.75" x14ac:dyDescent="0.2">
      <c r="F734" s="3"/>
      <c r="G734" s="3"/>
      <c r="H734" s="3"/>
      <c r="I734" s="3"/>
      <c r="J734" s="3"/>
    </row>
    <row r="735" spans="6:10" ht="12.75" x14ac:dyDescent="0.2">
      <c r="F735" s="3"/>
      <c r="G735" s="3"/>
      <c r="H735" s="3"/>
      <c r="I735" s="3"/>
      <c r="J735" s="3"/>
    </row>
    <row r="736" spans="6:10" ht="12.75" x14ac:dyDescent="0.2">
      <c r="F736" s="3"/>
      <c r="G736" s="3"/>
      <c r="H736" s="3"/>
      <c r="I736" s="3"/>
      <c r="J736" s="3"/>
    </row>
    <row r="737" spans="6:10" ht="12.75" x14ac:dyDescent="0.2">
      <c r="F737" s="3"/>
      <c r="G737" s="3"/>
      <c r="H737" s="3"/>
      <c r="I737" s="3"/>
      <c r="J737" s="3"/>
    </row>
    <row r="738" spans="6:10" ht="12.75" x14ac:dyDescent="0.2">
      <c r="F738" s="3"/>
      <c r="G738" s="3"/>
      <c r="H738" s="3"/>
      <c r="I738" s="3"/>
      <c r="J738" s="3"/>
    </row>
    <row r="739" spans="6:10" ht="12.75" x14ac:dyDescent="0.2">
      <c r="F739" s="3"/>
      <c r="G739" s="3"/>
      <c r="H739" s="3"/>
      <c r="I739" s="3"/>
      <c r="J739" s="3"/>
    </row>
    <row r="740" spans="6:10" ht="12.75" x14ac:dyDescent="0.2">
      <c r="F740" s="3"/>
      <c r="G740" s="3"/>
      <c r="H740" s="3"/>
      <c r="I740" s="3"/>
      <c r="J740" s="3"/>
    </row>
    <row r="741" spans="6:10" ht="12.75" x14ac:dyDescent="0.2">
      <c r="F741" s="3"/>
      <c r="G741" s="3"/>
      <c r="H741" s="3"/>
      <c r="I741" s="3"/>
      <c r="J741" s="3"/>
    </row>
    <row r="742" spans="6:10" ht="12.75" x14ac:dyDescent="0.2">
      <c r="F742" s="3"/>
      <c r="G742" s="3"/>
      <c r="H742" s="3"/>
      <c r="I742" s="3"/>
      <c r="J742" s="3"/>
    </row>
    <row r="743" spans="6:10" ht="12.75" x14ac:dyDescent="0.2">
      <c r="F743" s="3"/>
      <c r="G743" s="3"/>
      <c r="H743" s="3"/>
      <c r="I743" s="3"/>
      <c r="J743" s="3"/>
    </row>
    <row r="744" spans="6:10" ht="12.75" x14ac:dyDescent="0.2">
      <c r="F744" s="3"/>
      <c r="G744" s="3"/>
      <c r="H744" s="3"/>
      <c r="I744" s="3"/>
      <c r="J744" s="3"/>
    </row>
    <row r="745" spans="6:10" ht="12.75" x14ac:dyDescent="0.2">
      <c r="F745" s="3"/>
      <c r="G745" s="3"/>
      <c r="H745" s="3"/>
      <c r="I745" s="3"/>
      <c r="J745" s="3"/>
    </row>
    <row r="746" spans="6:10" ht="12.75" x14ac:dyDescent="0.2">
      <c r="F746" s="3"/>
      <c r="G746" s="3"/>
      <c r="H746" s="3"/>
      <c r="I746" s="3"/>
      <c r="J746" s="3"/>
    </row>
    <row r="747" spans="6:10" ht="12.75" x14ac:dyDescent="0.2">
      <c r="F747" s="3"/>
      <c r="G747" s="3"/>
      <c r="H747" s="3"/>
      <c r="I747" s="3"/>
      <c r="J747" s="3"/>
    </row>
    <row r="748" spans="6:10" ht="12.75" x14ac:dyDescent="0.2">
      <c r="F748" s="3"/>
      <c r="G748" s="3"/>
      <c r="H748" s="3"/>
      <c r="I748" s="3"/>
      <c r="J748" s="3"/>
    </row>
    <row r="749" spans="6:10" ht="12.75" x14ac:dyDescent="0.2">
      <c r="F749" s="3"/>
      <c r="G749" s="3"/>
      <c r="H749" s="3"/>
      <c r="I749" s="3"/>
      <c r="J749" s="3"/>
    </row>
    <row r="750" spans="6:10" ht="12.75" x14ac:dyDescent="0.2">
      <c r="F750" s="3"/>
      <c r="G750" s="3"/>
      <c r="H750" s="3"/>
      <c r="I750" s="3"/>
      <c r="J750" s="3"/>
    </row>
    <row r="751" spans="6:10" ht="12.75" x14ac:dyDescent="0.2">
      <c r="F751" s="3"/>
      <c r="G751" s="3"/>
      <c r="H751" s="3"/>
      <c r="I751" s="3"/>
      <c r="J751" s="3"/>
    </row>
    <row r="752" spans="6:10" ht="12.75" x14ac:dyDescent="0.2">
      <c r="F752" s="3"/>
      <c r="G752" s="3"/>
      <c r="H752" s="3"/>
      <c r="I752" s="3"/>
      <c r="J752" s="3"/>
    </row>
    <row r="753" spans="6:10" ht="12.75" x14ac:dyDescent="0.2">
      <c r="F753" s="3"/>
      <c r="G753" s="3"/>
      <c r="H753" s="3"/>
      <c r="I753" s="3"/>
      <c r="J753" s="3"/>
    </row>
    <row r="754" spans="6:10" ht="12.75" x14ac:dyDescent="0.2">
      <c r="F754" s="3"/>
      <c r="G754" s="3"/>
      <c r="H754" s="3"/>
      <c r="I754" s="3"/>
      <c r="J754" s="3"/>
    </row>
    <row r="755" spans="6:10" ht="12.75" x14ac:dyDescent="0.2">
      <c r="F755" s="3"/>
      <c r="G755" s="3"/>
      <c r="H755" s="3"/>
      <c r="I755" s="3"/>
      <c r="J755" s="3"/>
    </row>
    <row r="756" spans="6:10" ht="12.75" x14ac:dyDescent="0.2">
      <c r="F756" s="3"/>
      <c r="G756" s="3"/>
      <c r="H756" s="3"/>
      <c r="I756" s="3"/>
      <c r="J756" s="3"/>
    </row>
    <row r="757" spans="6:10" ht="12.75" x14ac:dyDescent="0.2">
      <c r="F757" s="3"/>
      <c r="G757" s="3"/>
      <c r="H757" s="3"/>
      <c r="I757" s="3"/>
      <c r="J757" s="3"/>
    </row>
    <row r="758" spans="6:10" ht="12.75" x14ac:dyDescent="0.2">
      <c r="F758" s="3"/>
      <c r="G758" s="3"/>
      <c r="H758" s="3"/>
      <c r="I758" s="3"/>
      <c r="J758" s="3"/>
    </row>
    <row r="759" spans="6:10" ht="12.75" x14ac:dyDescent="0.2">
      <c r="F759" s="3"/>
      <c r="G759" s="3"/>
      <c r="H759" s="3"/>
      <c r="I759" s="3"/>
      <c r="J759" s="3"/>
    </row>
    <row r="760" spans="6:10" ht="12.75" x14ac:dyDescent="0.2">
      <c r="F760" s="3"/>
      <c r="G760" s="3"/>
      <c r="H760" s="3"/>
      <c r="I760" s="3"/>
      <c r="J760" s="3"/>
    </row>
    <row r="761" spans="6:10" ht="12.75" x14ac:dyDescent="0.2">
      <c r="F761" s="3"/>
      <c r="G761" s="3"/>
      <c r="H761" s="3"/>
      <c r="I761" s="3"/>
      <c r="J761" s="3"/>
    </row>
    <row r="762" spans="6:10" ht="12.75" x14ac:dyDescent="0.2">
      <c r="F762" s="3"/>
      <c r="G762" s="3"/>
      <c r="H762" s="3"/>
      <c r="I762" s="3"/>
      <c r="J762" s="3"/>
    </row>
    <row r="763" spans="6:10" ht="12.75" x14ac:dyDescent="0.2">
      <c r="F763" s="3"/>
      <c r="G763" s="3"/>
      <c r="H763" s="3"/>
      <c r="I763" s="3"/>
      <c r="J763" s="3"/>
    </row>
    <row r="764" spans="6:10" ht="12.75" x14ac:dyDescent="0.2">
      <c r="F764" s="3"/>
      <c r="G764" s="3"/>
      <c r="H764" s="3"/>
      <c r="I764" s="3"/>
      <c r="J764" s="3"/>
    </row>
    <row r="765" spans="6:10" ht="12.75" x14ac:dyDescent="0.2">
      <c r="F765" s="3"/>
      <c r="G765" s="3"/>
      <c r="H765" s="3"/>
      <c r="I765" s="3"/>
      <c r="J765" s="3"/>
    </row>
    <row r="766" spans="6:10" ht="12.75" x14ac:dyDescent="0.2">
      <c r="F766" s="3"/>
      <c r="G766" s="3"/>
      <c r="H766" s="3"/>
      <c r="I766" s="3"/>
      <c r="J766" s="3"/>
    </row>
    <row r="767" spans="6:10" ht="12.75" x14ac:dyDescent="0.2">
      <c r="F767" s="3"/>
      <c r="G767" s="3"/>
      <c r="H767" s="3"/>
      <c r="I767" s="3"/>
      <c r="J767" s="3"/>
    </row>
    <row r="768" spans="6:10" ht="12.75" x14ac:dyDescent="0.2">
      <c r="F768" s="3"/>
      <c r="G768" s="3"/>
      <c r="H768" s="3"/>
      <c r="I768" s="3"/>
      <c r="J768" s="3"/>
    </row>
    <row r="769" spans="6:10" ht="12.75" x14ac:dyDescent="0.2">
      <c r="F769" s="3"/>
      <c r="G769" s="3"/>
      <c r="H769" s="3"/>
      <c r="I769" s="3"/>
      <c r="J769" s="3"/>
    </row>
    <row r="770" spans="6:10" ht="12.75" x14ac:dyDescent="0.2">
      <c r="F770" s="3"/>
      <c r="G770" s="3"/>
      <c r="H770" s="3"/>
      <c r="I770" s="3"/>
      <c r="J770" s="3"/>
    </row>
    <row r="771" spans="6:10" ht="12.75" x14ac:dyDescent="0.2">
      <c r="F771" s="3"/>
      <c r="G771" s="3"/>
      <c r="H771" s="3"/>
      <c r="I771" s="3"/>
      <c r="J771" s="3"/>
    </row>
    <row r="772" spans="6:10" ht="12.75" x14ac:dyDescent="0.2">
      <c r="F772" s="3"/>
      <c r="G772" s="3"/>
      <c r="H772" s="3"/>
      <c r="I772" s="3"/>
      <c r="J772" s="3"/>
    </row>
    <row r="773" spans="6:10" ht="12.75" x14ac:dyDescent="0.2">
      <c r="F773" s="3"/>
      <c r="G773" s="3"/>
      <c r="H773" s="3"/>
      <c r="I773" s="3"/>
      <c r="J773" s="3"/>
    </row>
    <row r="774" spans="6:10" ht="12.75" x14ac:dyDescent="0.2">
      <c r="F774" s="3"/>
      <c r="G774" s="3"/>
      <c r="H774" s="3"/>
      <c r="I774" s="3"/>
      <c r="J774" s="3"/>
    </row>
    <row r="775" spans="6:10" ht="12.75" x14ac:dyDescent="0.2">
      <c r="F775" s="3"/>
      <c r="G775" s="3"/>
      <c r="H775" s="3"/>
      <c r="I775" s="3"/>
      <c r="J775" s="3"/>
    </row>
    <row r="776" spans="6:10" ht="12.75" x14ac:dyDescent="0.2">
      <c r="F776" s="3"/>
      <c r="G776" s="3"/>
      <c r="H776" s="3"/>
      <c r="I776" s="3"/>
      <c r="J776" s="3"/>
    </row>
    <row r="777" spans="6:10" ht="12.75" x14ac:dyDescent="0.2">
      <c r="F777" s="3"/>
      <c r="G777" s="3"/>
      <c r="H777" s="3"/>
      <c r="I777" s="3"/>
      <c r="J777" s="3"/>
    </row>
    <row r="778" spans="6:10" ht="12.75" x14ac:dyDescent="0.2">
      <c r="F778" s="3"/>
      <c r="G778" s="3"/>
      <c r="H778" s="3"/>
      <c r="I778" s="3"/>
      <c r="J778" s="3"/>
    </row>
    <row r="779" spans="6:10" ht="12.75" x14ac:dyDescent="0.2">
      <c r="F779" s="3"/>
      <c r="G779" s="3"/>
      <c r="H779" s="3"/>
      <c r="I779" s="3"/>
      <c r="J779" s="3"/>
    </row>
    <row r="780" spans="6:10" ht="12.75" x14ac:dyDescent="0.2">
      <c r="F780" s="3"/>
      <c r="G780" s="3"/>
      <c r="H780" s="3"/>
      <c r="I780" s="3"/>
      <c r="J780" s="3"/>
    </row>
    <row r="781" spans="6:10" ht="12.75" x14ac:dyDescent="0.2">
      <c r="F781" s="3"/>
      <c r="G781" s="3"/>
      <c r="H781" s="3"/>
      <c r="I781" s="3"/>
      <c r="J781" s="3"/>
    </row>
    <row r="782" spans="6:10" ht="12.75" x14ac:dyDescent="0.2">
      <c r="F782" s="3"/>
      <c r="G782" s="3"/>
      <c r="H782" s="3"/>
      <c r="I782" s="3"/>
      <c r="J782" s="3"/>
    </row>
    <row r="783" spans="6:10" ht="12.75" x14ac:dyDescent="0.2">
      <c r="F783" s="3"/>
      <c r="G783" s="3"/>
      <c r="H783" s="3"/>
      <c r="I783" s="3"/>
      <c r="J783" s="3"/>
    </row>
    <row r="784" spans="6:10" ht="12.75" x14ac:dyDescent="0.2">
      <c r="F784" s="3"/>
      <c r="G784" s="3"/>
      <c r="H784" s="3"/>
      <c r="I784" s="3"/>
      <c r="J784" s="3"/>
    </row>
    <row r="785" spans="6:10" ht="12.75" x14ac:dyDescent="0.2">
      <c r="F785" s="3"/>
      <c r="G785" s="3"/>
      <c r="H785" s="3"/>
      <c r="I785" s="3"/>
      <c r="J785" s="3"/>
    </row>
    <row r="786" spans="6:10" ht="12.75" x14ac:dyDescent="0.2">
      <c r="F786" s="3"/>
      <c r="G786" s="3"/>
      <c r="H786" s="3"/>
      <c r="I786" s="3"/>
      <c r="J786" s="3"/>
    </row>
    <row r="787" spans="6:10" ht="12.75" x14ac:dyDescent="0.2">
      <c r="F787" s="3"/>
      <c r="G787" s="3"/>
      <c r="H787" s="3"/>
      <c r="I787" s="3"/>
      <c r="J787" s="3"/>
    </row>
    <row r="788" spans="6:10" ht="12.75" x14ac:dyDescent="0.2">
      <c r="F788" s="3"/>
      <c r="G788" s="3"/>
      <c r="H788" s="3"/>
      <c r="I788" s="3"/>
      <c r="J788" s="3"/>
    </row>
    <row r="789" spans="6:10" ht="12.75" x14ac:dyDescent="0.2">
      <c r="F789" s="3"/>
      <c r="G789" s="3"/>
      <c r="H789" s="3"/>
      <c r="I789" s="3"/>
      <c r="J789" s="3"/>
    </row>
    <row r="790" spans="6:10" ht="12.75" x14ac:dyDescent="0.2">
      <c r="F790" s="3"/>
      <c r="G790" s="3"/>
      <c r="H790" s="3"/>
      <c r="I790" s="3"/>
      <c r="J790" s="3"/>
    </row>
    <row r="791" spans="6:10" ht="12.75" x14ac:dyDescent="0.2">
      <c r="F791" s="3"/>
      <c r="G791" s="3"/>
      <c r="H791" s="3"/>
      <c r="I791" s="3"/>
      <c r="J791" s="3"/>
    </row>
    <row r="792" spans="6:10" ht="12.75" x14ac:dyDescent="0.2">
      <c r="F792" s="3"/>
      <c r="G792" s="3"/>
      <c r="H792" s="3"/>
      <c r="I792" s="3"/>
      <c r="J792" s="3"/>
    </row>
    <row r="793" spans="6:10" ht="12.75" x14ac:dyDescent="0.2">
      <c r="F793" s="3"/>
      <c r="G793" s="3"/>
      <c r="H793" s="3"/>
      <c r="I793" s="3"/>
      <c r="J793" s="3"/>
    </row>
    <row r="794" spans="6:10" ht="12.75" x14ac:dyDescent="0.2">
      <c r="F794" s="3"/>
      <c r="G794" s="3"/>
      <c r="H794" s="3"/>
      <c r="I794" s="3"/>
      <c r="J794" s="3"/>
    </row>
    <row r="795" spans="6:10" ht="12.75" x14ac:dyDescent="0.2">
      <c r="F795" s="3"/>
      <c r="G795" s="3"/>
      <c r="H795" s="3"/>
      <c r="I795" s="3"/>
      <c r="J795" s="3"/>
    </row>
    <row r="796" spans="6:10" ht="12.75" x14ac:dyDescent="0.2">
      <c r="F796" s="3"/>
      <c r="G796" s="3"/>
      <c r="H796" s="3"/>
      <c r="I796" s="3"/>
      <c r="J796" s="3"/>
    </row>
    <row r="797" spans="6:10" ht="12.75" x14ac:dyDescent="0.2">
      <c r="F797" s="3"/>
      <c r="G797" s="3"/>
      <c r="H797" s="3"/>
      <c r="I797" s="3"/>
      <c r="J797" s="3"/>
    </row>
    <row r="798" spans="6:10" ht="12.75" x14ac:dyDescent="0.2">
      <c r="F798" s="3"/>
      <c r="G798" s="3"/>
      <c r="H798" s="3"/>
      <c r="I798" s="3"/>
      <c r="J798" s="3"/>
    </row>
    <row r="799" spans="6:10" ht="12.75" x14ac:dyDescent="0.2">
      <c r="F799" s="3"/>
      <c r="G799" s="3"/>
      <c r="H799" s="3"/>
      <c r="I799" s="3"/>
      <c r="J799" s="3"/>
    </row>
    <row r="800" spans="6:10" ht="12.75" x14ac:dyDescent="0.2">
      <c r="F800" s="3"/>
      <c r="G800" s="3"/>
      <c r="H800" s="3"/>
      <c r="I800" s="3"/>
      <c r="J800" s="3"/>
    </row>
    <row r="801" spans="6:10" ht="12.75" x14ac:dyDescent="0.2">
      <c r="F801" s="3"/>
      <c r="G801" s="3"/>
      <c r="H801" s="3"/>
      <c r="I801" s="3"/>
      <c r="J801" s="3"/>
    </row>
    <row r="802" spans="6:10" ht="12.75" x14ac:dyDescent="0.2">
      <c r="F802" s="3"/>
      <c r="G802" s="3"/>
      <c r="H802" s="3"/>
      <c r="I802" s="3"/>
      <c r="J802" s="3"/>
    </row>
    <row r="803" spans="6:10" ht="12.75" x14ac:dyDescent="0.2">
      <c r="F803" s="3"/>
      <c r="G803" s="3"/>
      <c r="H803" s="3"/>
      <c r="I803" s="3"/>
      <c r="J803" s="3"/>
    </row>
    <row r="804" spans="6:10" ht="12.75" x14ac:dyDescent="0.2">
      <c r="F804" s="3"/>
      <c r="G804" s="3"/>
      <c r="H804" s="3"/>
      <c r="I804" s="3"/>
      <c r="J804" s="3"/>
    </row>
    <row r="805" spans="6:10" ht="12.75" x14ac:dyDescent="0.2">
      <c r="F805" s="3"/>
      <c r="G805" s="3"/>
      <c r="H805" s="3"/>
      <c r="I805" s="3"/>
      <c r="J805" s="3"/>
    </row>
    <row r="806" spans="6:10" ht="12.75" x14ac:dyDescent="0.2">
      <c r="F806" s="3"/>
      <c r="G806" s="3"/>
      <c r="H806" s="3"/>
      <c r="I806" s="3"/>
      <c r="J806" s="3"/>
    </row>
    <row r="807" spans="6:10" ht="12.75" x14ac:dyDescent="0.2">
      <c r="F807" s="3"/>
      <c r="G807" s="3"/>
      <c r="H807" s="3"/>
      <c r="I807" s="3"/>
      <c r="J807" s="3"/>
    </row>
    <row r="808" spans="6:10" ht="12.75" x14ac:dyDescent="0.2">
      <c r="F808" s="3"/>
      <c r="G808" s="3"/>
      <c r="H808" s="3"/>
      <c r="I808" s="3"/>
      <c r="J808" s="3"/>
    </row>
    <row r="809" spans="6:10" ht="12.75" x14ac:dyDescent="0.2">
      <c r="F809" s="3"/>
      <c r="G809" s="3"/>
      <c r="H809" s="3"/>
      <c r="I809" s="3"/>
      <c r="J809" s="3"/>
    </row>
    <row r="810" spans="6:10" ht="12.75" x14ac:dyDescent="0.2">
      <c r="F810" s="3"/>
      <c r="G810" s="3"/>
      <c r="H810" s="3"/>
      <c r="I810" s="3"/>
      <c r="J810" s="3"/>
    </row>
    <row r="811" spans="6:10" ht="12.75" x14ac:dyDescent="0.2">
      <c r="F811" s="3"/>
      <c r="G811" s="3"/>
      <c r="H811" s="3"/>
      <c r="I811" s="3"/>
      <c r="J811" s="3"/>
    </row>
    <row r="812" spans="6:10" ht="12.75" x14ac:dyDescent="0.2">
      <c r="F812" s="3"/>
      <c r="G812" s="3"/>
      <c r="H812" s="3"/>
      <c r="I812" s="3"/>
      <c r="J812" s="3"/>
    </row>
    <row r="813" spans="6:10" ht="12.75" x14ac:dyDescent="0.2">
      <c r="F813" s="3"/>
      <c r="G813" s="3"/>
      <c r="H813" s="3"/>
      <c r="I813" s="3"/>
      <c r="J813" s="3"/>
    </row>
    <row r="814" spans="6:10" ht="12.75" x14ac:dyDescent="0.2">
      <c r="F814" s="3"/>
      <c r="G814" s="3"/>
      <c r="H814" s="3"/>
      <c r="I814" s="3"/>
      <c r="J814" s="3"/>
    </row>
    <row r="815" spans="6:10" ht="12.75" x14ac:dyDescent="0.2">
      <c r="F815" s="3"/>
      <c r="G815" s="3"/>
      <c r="H815" s="3"/>
      <c r="I815" s="3"/>
      <c r="J815" s="3"/>
    </row>
    <row r="816" spans="6:10" ht="12.75" x14ac:dyDescent="0.2">
      <c r="F816" s="3"/>
      <c r="G816" s="3"/>
      <c r="H816" s="3"/>
      <c r="I816" s="3"/>
      <c r="J816" s="3"/>
    </row>
    <row r="817" spans="6:10" ht="12.75" x14ac:dyDescent="0.2">
      <c r="F817" s="3"/>
      <c r="G817" s="3"/>
      <c r="H817" s="3"/>
      <c r="I817" s="3"/>
      <c r="J817" s="3"/>
    </row>
    <row r="818" spans="6:10" ht="12.75" x14ac:dyDescent="0.2">
      <c r="F818" s="3"/>
      <c r="G818" s="3"/>
      <c r="H818" s="3"/>
      <c r="I818" s="3"/>
      <c r="J818" s="3"/>
    </row>
    <row r="819" spans="6:10" ht="12.75" x14ac:dyDescent="0.2">
      <c r="F819" s="3"/>
      <c r="G819" s="3"/>
      <c r="H819" s="3"/>
      <c r="I819" s="3"/>
      <c r="J819" s="3"/>
    </row>
    <row r="820" spans="6:10" ht="12.75" x14ac:dyDescent="0.2">
      <c r="F820" s="3"/>
      <c r="G820" s="3"/>
      <c r="H820" s="3"/>
      <c r="I820" s="3"/>
      <c r="J820" s="3"/>
    </row>
    <row r="821" spans="6:10" ht="12.75" x14ac:dyDescent="0.2">
      <c r="F821" s="3"/>
      <c r="G821" s="3"/>
      <c r="H821" s="3"/>
      <c r="I821" s="3"/>
      <c r="J821" s="3"/>
    </row>
    <row r="822" spans="6:10" ht="12.75" x14ac:dyDescent="0.2">
      <c r="F822" s="3"/>
      <c r="G822" s="3"/>
      <c r="H822" s="3"/>
      <c r="I822" s="3"/>
      <c r="J822" s="3"/>
    </row>
    <row r="823" spans="6:10" ht="12.75" x14ac:dyDescent="0.2">
      <c r="F823" s="3"/>
      <c r="G823" s="3"/>
      <c r="H823" s="3"/>
      <c r="I823" s="3"/>
      <c r="J823" s="3"/>
    </row>
    <row r="824" spans="6:10" ht="12.75" x14ac:dyDescent="0.2">
      <c r="F824" s="3"/>
      <c r="G824" s="3"/>
      <c r="H824" s="3"/>
      <c r="I824" s="3"/>
      <c r="J824" s="3"/>
    </row>
    <row r="825" spans="6:10" ht="12.75" x14ac:dyDescent="0.2">
      <c r="F825" s="3"/>
      <c r="G825" s="3"/>
      <c r="H825" s="3"/>
      <c r="I825" s="3"/>
      <c r="J825" s="3"/>
    </row>
    <row r="826" spans="6:10" ht="12.75" x14ac:dyDescent="0.2">
      <c r="F826" s="3"/>
      <c r="G826" s="3"/>
      <c r="H826" s="3"/>
      <c r="I826" s="3"/>
      <c r="J826" s="3"/>
    </row>
    <row r="827" spans="6:10" ht="12.75" x14ac:dyDescent="0.2">
      <c r="F827" s="3"/>
      <c r="G827" s="3"/>
      <c r="H827" s="3"/>
      <c r="I827" s="3"/>
      <c r="J827" s="3"/>
    </row>
    <row r="828" spans="6:10" ht="12.75" x14ac:dyDescent="0.2">
      <c r="F828" s="3"/>
      <c r="G828" s="3"/>
      <c r="H828" s="3"/>
      <c r="I828" s="3"/>
      <c r="J828" s="3"/>
    </row>
    <row r="829" spans="6:10" ht="12.75" x14ac:dyDescent="0.2">
      <c r="F829" s="3"/>
      <c r="G829" s="3"/>
      <c r="H829" s="3"/>
      <c r="I829" s="3"/>
      <c r="J829" s="3"/>
    </row>
    <row r="830" spans="6:10" ht="12.75" x14ac:dyDescent="0.2">
      <c r="F830" s="3"/>
      <c r="G830" s="3"/>
      <c r="H830" s="3"/>
      <c r="I830" s="3"/>
      <c r="J830" s="3"/>
    </row>
    <row r="831" spans="6:10" ht="12.75" x14ac:dyDescent="0.2">
      <c r="F831" s="3"/>
      <c r="G831" s="3"/>
      <c r="H831" s="3"/>
      <c r="I831" s="3"/>
      <c r="J831" s="3"/>
    </row>
    <row r="832" spans="6:10" ht="12.75" x14ac:dyDescent="0.2">
      <c r="F832" s="3"/>
      <c r="G832" s="3"/>
      <c r="H832" s="3"/>
      <c r="I832" s="3"/>
      <c r="J832" s="3"/>
    </row>
    <row r="833" spans="6:10" ht="12.75" x14ac:dyDescent="0.2">
      <c r="F833" s="3"/>
      <c r="G833" s="3"/>
      <c r="H833" s="3"/>
      <c r="I833" s="3"/>
      <c r="J833" s="3"/>
    </row>
    <row r="834" spans="6:10" ht="12.75" x14ac:dyDescent="0.2">
      <c r="F834" s="3"/>
      <c r="G834" s="3"/>
      <c r="H834" s="3"/>
      <c r="I834" s="3"/>
      <c r="J834" s="3"/>
    </row>
    <row r="835" spans="6:10" ht="12.75" x14ac:dyDescent="0.2">
      <c r="F835" s="3"/>
      <c r="G835" s="3"/>
      <c r="H835" s="3"/>
      <c r="I835" s="3"/>
      <c r="J835" s="3"/>
    </row>
    <row r="836" spans="6:10" ht="12.75" x14ac:dyDescent="0.2">
      <c r="F836" s="3"/>
      <c r="G836" s="3"/>
      <c r="H836" s="3"/>
      <c r="I836" s="3"/>
      <c r="J836" s="3"/>
    </row>
    <row r="837" spans="6:10" ht="12.75" x14ac:dyDescent="0.2">
      <c r="F837" s="3"/>
      <c r="G837" s="3"/>
      <c r="H837" s="3"/>
      <c r="I837" s="3"/>
      <c r="J837" s="3"/>
    </row>
    <row r="838" spans="6:10" ht="12.75" x14ac:dyDescent="0.2">
      <c r="F838" s="3"/>
      <c r="G838" s="3"/>
      <c r="H838" s="3"/>
      <c r="I838" s="3"/>
      <c r="J838" s="3"/>
    </row>
    <row r="839" spans="6:10" ht="12.75" x14ac:dyDescent="0.2">
      <c r="F839" s="3"/>
      <c r="G839" s="3"/>
      <c r="H839" s="3"/>
      <c r="I839" s="3"/>
      <c r="J839" s="3"/>
    </row>
    <row r="840" spans="6:10" ht="12.75" x14ac:dyDescent="0.2">
      <c r="F840" s="3"/>
      <c r="G840" s="3"/>
      <c r="H840" s="3"/>
      <c r="I840" s="3"/>
      <c r="J840" s="3"/>
    </row>
    <row r="841" spans="6:10" ht="12.75" x14ac:dyDescent="0.2">
      <c r="F841" s="3"/>
      <c r="G841" s="3"/>
      <c r="H841" s="3"/>
      <c r="I841" s="3"/>
      <c r="J841" s="3"/>
    </row>
    <row r="842" spans="6:10" ht="12.75" x14ac:dyDescent="0.2">
      <c r="F842" s="3"/>
      <c r="G842" s="3"/>
      <c r="H842" s="3"/>
      <c r="I842" s="3"/>
      <c r="J842" s="3"/>
    </row>
    <row r="843" spans="6:10" ht="12.75" x14ac:dyDescent="0.2">
      <c r="F843" s="3"/>
      <c r="G843" s="3"/>
      <c r="H843" s="3"/>
      <c r="I843" s="3"/>
      <c r="J843" s="3"/>
    </row>
    <row r="844" spans="6:10" ht="12.75" x14ac:dyDescent="0.2">
      <c r="F844" s="3"/>
      <c r="G844" s="3"/>
      <c r="H844" s="3"/>
      <c r="I844" s="3"/>
      <c r="J844" s="3"/>
    </row>
    <row r="845" spans="6:10" ht="12.75" x14ac:dyDescent="0.2">
      <c r="F845" s="3"/>
      <c r="G845" s="3"/>
      <c r="H845" s="3"/>
      <c r="I845" s="3"/>
      <c r="J845" s="3"/>
    </row>
    <row r="846" spans="6:10" ht="12.75" x14ac:dyDescent="0.2">
      <c r="F846" s="3"/>
      <c r="G846" s="3"/>
      <c r="H846" s="3"/>
      <c r="I846" s="3"/>
      <c r="J846" s="3"/>
    </row>
    <row r="847" spans="6:10" ht="12.75" x14ac:dyDescent="0.2">
      <c r="F847" s="3"/>
      <c r="G847" s="3"/>
      <c r="H847" s="3"/>
      <c r="I847" s="3"/>
      <c r="J847" s="3"/>
    </row>
    <row r="848" spans="6:10" ht="12.75" x14ac:dyDescent="0.2">
      <c r="F848" s="3"/>
      <c r="G848" s="3"/>
      <c r="H848" s="3"/>
      <c r="I848" s="3"/>
      <c r="J848" s="3"/>
    </row>
    <row r="849" spans="6:10" ht="12.75" x14ac:dyDescent="0.2">
      <c r="F849" s="3"/>
      <c r="G849" s="3"/>
      <c r="H849" s="3"/>
      <c r="I849" s="3"/>
      <c r="J849" s="3"/>
    </row>
    <row r="850" spans="6:10" ht="12.75" x14ac:dyDescent="0.2">
      <c r="F850" s="3"/>
      <c r="G850" s="3"/>
      <c r="H850" s="3"/>
      <c r="I850" s="3"/>
      <c r="J850" s="3"/>
    </row>
    <row r="851" spans="6:10" ht="12.75" x14ac:dyDescent="0.2">
      <c r="F851" s="3"/>
      <c r="G851" s="3"/>
      <c r="H851" s="3"/>
      <c r="I851" s="3"/>
      <c r="J851" s="3"/>
    </row>
    <row r="852" spans="6:10" ht="12.75" x14ac:dyDescent="0.2">
      <c r="F852" s="3"/>
      <c r="G852" s="3"/>
      <c r="H852" s="3"/>
      <c r="I852" s="3"/>
      <c r="J852" s="3"/>
    </row>
    <row r="853" spans="6:10" ht="12.75" x14ac:dyDescent="0.2">
      <c r="F853" s="3"/>
      <c r="G853" s="3"/>
      <c r="H853" s="3"/>
      <c r="I853" s="3"/>
      <c r="J853" s="3"/>
    </row>
    <row r="854" spans="6:10" ht="12.75" x14ac:dyDescent="0.2">
      <c r="F854" s="3"/>
      <c r="G854" s="3"/>
      <c r="H854" s="3"/>
      <c r="I854" s="3"/>
      <c r="J854" s="3"/>
    </row>
    <row r="855" spans="6:10" ht="12.75" x14ac:dyDescent="0.2">
      <c r="F855" s="3"/>
      <c r="G855" s="3"/>
      <c r="H855" s="3"/>
      <c r="I855" s="3"/>
      <c r="J855" s="3"/>
    </row>
    <row r="856" spans="6:10" ht="12.75" x14ac:dyDescent="0.2">
      <c r="F856" s="3"/>
      <c r="G856" s="3"/>
      <c r="H856" s="3"/>
      <c r="I856" s="3"/>
      <c r="J856" s="3"/>
    </row>
    <row r="857" spans="6:10" ht="12.75" x14ac:dyDescent="0.2">
      <c r="F857" s="3"/>
      <c r="G857" s="3"/>
      <c r="H857" s="3"/>
      <c r="I857" s="3"/>
      <c r="J857" s="3"/>
    </row>
    <row r="858" spans="6:10" ht="12.75" x14ac:dyDescent="0.2">
      <c r="F858" s="3"/>
      <c r="G858" s="3"/>
      <c r="H858" s="3"/>
      <c r="I858" s="3"/>
      <c r="J858" s="3"/>
    </row>
    <row r="859" spans="6:10" ht="12.75" x14ac:dyDescent="0.2">
      <c r="F859" s="3"/>
      <c r="G859" s="3"/>
      <c r="H859" s="3"/>
      <c r="I859" s="3"/>
      <c r="J859" s="3"/>
    </row>
    <row r="860" spans="6:10" ht="12.75" x14ac:dyDescent="0.2">
      <c r="F860" s="3"/>
      <c r="G860" s="3"/>
      <c r="H860" s="3"/>
      <c r="I860" s="3"/>
      <c r="J860" s="3"/>
    </row>
    <row r="861" spans="6:10" ht="12.75" x14ac:dyDescent="0.2">
      <c r="F861" s="3"/>
      <c r="G861" s="3"/>
      <c r="H861" s="3"/>
      <c r="I861" s="3"/>
      <c r="J861" s="3"/>
    </row>
    <row r="862" spans="6:10" ht="12.75" x14ac:dyDescent="0.2">
      <c r="F862" s="3"/>
      <c r="G862" s="3"/>
      <c r="H862" s="3"/>
      <c r="I862" s="3"/>
      <c r="J862" s="3"/>
    </row>
    <row r="863" spans="6:10" ht="12.75" x14ac:dyDescent="0.2">
      <c r="F863" s="3"/>
      <c r="G863" s="3"/>
      <c r="H863" s="3"/>
      <c r="I863" s="3"/>
      <c r="J863" s="3"/>
    </row>
    <row r="864" spans="6:10" ht="12.75" x14ac:dyDescent="0.2">
      <c r="F864" s="3"/>
      <c r="G864" s="3"/>
      <c r="H864" s="3"/>
      <c r="I864" s="3"/>
      <c r="J864" s="3"/>
    </row>
    <row r="865" spans="6:10" ht="12.75" x14ac:dyDescent="0.2">
      <c r="F865" s="3"/>
      <c r="G865" s="3"/>
      <c r="H865" s="3"/>
      <c r="I865" s="3"/>
      <c r="J865" s="3"/>
    </row>
    <row r="866" spans="6:10" ht="12.75" x14ac:dyDescent="0.2">
      <c r="F866" s="3"/>
      <c r="G866" s="3"/>
      <c r="H866" s="3"/>
      <c r="I866" s="3"/>
      <c r="J866" s="3"/>
    </row>
    <row r="867" spans="6:10" ht="12.75" x14ac:dyDescent="0.2">
      <c r="F867" s="3"/>
      <c r="G867" s="3"/>
      <c r="H867" s="3"/>
      <c r="I867" s="3"/>
      <c r="J867" s="3"/>
    </row>
    <row r="868" spans="6:10" ht="12.75" x14ac:dyDescent="0.2">
      <c r="F868" s="3"/>
      <c r="G868" s="3"/>
      <c r="H868" s="3"/>
      <c r="I868" s="3"/>
      <c r="J868" s="3"/>
    </row>
    <row r="869" spans="6:10" ht="12.75" x14ac:dyDescent="0.2">
      <c r="F869" s="3"/>
      <c r="G869" s="3"/>
      <c r="H869" s="3"/>
      <c r="I869" s="3"/>
      <c r="J869" s="3"/>
    </row>
    <row r="870" spans="6:10" ht="12.75" x14ac:dyDescent="0.2">
      <c r="F870" s="3"/>
      <c r="G870" s="3"/>
      <c r="H870" s="3"/>
      <c r="I870" s="3"/>
      <c r="J870" s="3"/>
    </row>
    <row r="871" spans="6:10" ht="12.75" x14ac:dyDescent="0.2">
      <c r="F871" s="3"/>
      <c r="G871" s="3"/>
      <c r="H871" s="3"/>
      <c r="I871" s="3"/>
      <c r="J871" s="3"/>
    </row>
    <row r="872" spans="6:10" ht="12.75" x14ac:dyDescent="0.2">
      <c r="F872" s="3"/>
      <c r="G872" s="3"/>
      <c r="H872" s="3"/>
      <c r="I872" s="3"/>
      <c r="J872" s="3"/>
    </row>
    <row r="873" spans="6:10" ht="12.75" x14ac:dyDescent="0.2">
      <c r="F873" s="3"/>
      <c r="G873" s="3"/>
      <c r="H873" s="3"/>
      <c r="I873" s="3"/>
      <c r="J873" s="3"/>
    </row>
    <row r="874" spans="6:10" ht="12.75" x14ac:dyDescent="0.2">
      <c r="F874" s="3"/>
      <c r="G874" s="3"/>
      <c r="H874" s="3"/>
      <c r="I874" s="3"/>
      <c r="J874" s="3"/>
    </row>
    <row r="875" spans="6:10" ht="12.75" x14ac:dyDescent="0.2">
      <c r="F875" s="3"/>
      <c r="G875" s="3"/>
      <c r="H875" s="3"/>
      <c r="I875" s="3"/>
      <c r="J875" s="3"/>
    </row>
    <row r="876" spans="6:10" ht="12.75" x14ac:dyDescent="0.2">
      <c r="F876" s="3"/>
      <c r="G876" s="3"/>
      <c r="H876" s="3"/>
      <c r="I876" s="3"/>
      <c r="J876" s="3"/>
    </row>
    <row r="877" spans="6:10" ht="12.75" x14ac:dyDescent="0.2">
      <c r="F877" s="3"/>
      <c r="G877" s="3"/>
      <c r="H877" s="3"/>
      <c r="I877" s="3"/>
      <c r="J877" s="3"/>
    </row>
    <row r="878" spans="6:10" ht="12.75" x14ac:dyDescent="0.2">
      <c r="F878" s="3"/>
      <c r="G878" s="3"/>
      <c r="H878" s="3"/>
      <c r="I878" s="3"/>
      <c r="J878" s="3"/>
    </row>
    <row r="879" spans="6:10" ht="12.75" x14ac:dyDescent="0.2">
      <c r="F879" s="3"/>
      <c r="G879" s="3"/>
      <c r="H879" s="3"/>
      <c r="I879" s="3"/>
      <c r="J879" s="3"/>
    </row>
    <row r="880" spans="6:10" ht="12.75" x14ac:dyDescent="0.2">
      <c r="F880" s="3"/>
      <c r="G880" s="3"/>
      <c r="H880" s="3"/>
      <c r="I880" s="3"/>
      <c r="J880" s="3"/>
    </row>
    <row r="881" spans="6:10" ht="12.75" x14ac:dyDescent="0.2">
      <c r="F881" s="3"/>
      <c r="G881" s="3"/>
      <c r="H881" s="3"/>
      <c r="I881" s="3"/>
      <c r="J881" s="3"/>
    </row>
    <row r="882" spans="6:10" ht="12.75" x14ac:dyDescent="0.2">
      <c r="F882" s="3"/>
      <c r="G882" s="3"/>
      <c r="H882" s="3"/>
      <c r="I882" s="3"/>
      <c r="J882" s="3"/>
    </row>
    <row r="883" spans="6:10" ht="12.75" x14ac:dyDescent="0.2">
      <c r="F883" s="3"/>
      <c r="G883" s="3"/>
      <c r="H883" s="3"/>
      <c r="I883" s="3"/>
      <c r="J883" s="3"/>
    </row>
    <row r="884" spans="6:10" ht="12.75" x14ac:dyDescent="0.2">
      <c r="F884" s="3"/>
      <c r="G884" s="3"/>
      <c r="H884" s="3"/>
      <c r="I884" s="3"/>
      <c r="J884" s="3"/>
    </row>
    <row r="885" spans="6:10" ht="12.75" x14ac:dyDescent="0.2">
      <c r="F885" s="3"/>
      <c r="G885" s="3"/>
      <c r="H885" s="3"/>
      <c r="I885" s="3"/>
      <c r="J885" s="3"/>
    </row>
    <row r="886" spans="6:10" ht="12.75" x14ac:dyDescent="0.2">
      <c r="F886" s="3"/>
      <c r="G886" s="3"/>
      <c r="H886" s="3"/>
      <c r="I886" s="3"/>
      <c r="J886" s="3"/>
    </row>
    <row r="887" spans="6:10" ht="12.75" x14ac:dyDescent="0.2">
      <c r="F887" s="3"/>
      <c r="G887" s="3"/>
      <c r="H887" s="3"/>
      <c r="I887" s="3"/>
      <c r="J887" s="3"/>
    </row>
    <row r="888" spans="6:10" ht="12.75" x14ac:dyDescent="0.2">
      <c r="F888" s="3"/>
      <c r="G888" s="3"/>
      <c r="H888" s="3"/>
      <c r="I888" s="3"/>
      <c r="J888" s="3"/>
    </row>
    <row r="889" spans="6:10" ht="12.75" x14ac:dyDescent="0.2">
      <c r="F889" s="3"/>
      <c r="G889" s="3"/>
      <c r="H889" s="3"/>
      <c r="I889" s="3"/>
      <c r="J889" s="3"/>
    </row>
    <row r="890" spans="6:10" ht="12.75" x14ac:dyDescent="0.2">
      <c r="F890" s="3"/>
      <c r="G890" s="3"/>
      <c r="H890" s="3"/>
      <c r="I890" s="3"/>
      <c r="J890" s="3"/>
    </row>
    <row r="891" spans="6:10" ht="12.75" x14ac:dyDescent="0.2">
      <c r="F891" s="3"/>
      <c r="G891" s="3"/>
      <c r="H891" s="3"/>
      <c r="I891" s="3"/>
      <c r="J891" s="3"/>
    </row>
    <row r="892" spans="6:10" ht="12.75" x14ac:dyDescent="0.2">
      <c r="F892" s="3"/>
      <c r="G892" s="3"/>
      <c r="H892" s="3"/>
      <c r="I892" s="3"/>
      <c r="J892" s="3"/>
    </row>
    <row r="893" spans="6:10" ht="12.75" x14ac:dyDescent="0.2">
      <c r="F893" s="3"/>
      <c r="G893" s="3"/>
      <c r="H893" s="3"/>
      <c r="I893" s="3"/>
      <c r="J893" s="3"/>
    </row>
    <row r="894" spans="6:10" ht="12.75" x14ac:dyDescent="0.2">
      <c r="F894" s="3"/>
      <c r="G894" s="3"/>
      <c r="H894" s="3"/>
      <c r="I894" s="3"/>
      <c r="J894" s="3"/>
    </row>
    <row r="895" spans="6:10" ht="12.75" x14ac:dyDescent="0.2">
      <c r="F895" s="3"/>
      <c r="G895" s="3"/>
      <c r="H895" s="3"/>
      <c r="I895" s="3"/>
      <c r="J895" s="3"/>
    </row>
    <row r="896" spans="6:10" ht="12.75" x14ac:dyDescent="0.2">
      <c r="F896" s="3"/>
      <c r="G896" s="3"/>
      <c r="H896" s="3"/>
      <c r="I896" s="3"/>
      <c r="J896" s="3"/>
    </row>
    <row r="897" spans="6:10" ht="12.75" x14ac:dyDescent="0.2">
      <c r="F897" s="3"/>
      <c r="G897" s="3"/>
      <c r="H897" s="3"/>
      <c r="I897" s="3"/>
      <c r="J897" s="3"/>
    </row>
    <row r="898" spans="6:10" ht="12.75" x14ac:dyDescent="0.2">
      <c r="F898" s="3"/>
      <c r="G898" s="3"/>
      <c r="H898" s="3"/>
      <c r="I898" s="3"/>
      <c r="J898" s="3"/>
    </row>
    <row r="899" spans="6:10" ht="12.75" x14ac:dyDescent="0.2">
      <c r="F899" s="3"/>
      <c r="G899" s="3"/>
      <c r="H899" s="3"/>
      <c r="I899" s="3"/>
      <c r="J899" s="3"/>
    </row>
    <row r="900" spans="6:10" ht="12.75" x14ac:dyDescent="0.2">
      <c r="F900" s="3"/>
      <c r="G900" s="3"/>
      <c r="H900" s="3"/>
      <c r="I900" s="3"/>
      <c r="J900" s="3"/>
    </row>
    <row r="901" spans="6:10" ht="12.75" x14ac:dyDescent="0.2">
      <c r="F901" s="3"/>
      <c r="G901" s="3"/>
      <c r="H901" s="3"/>
      <c r="I901" s="3"/>
      <c r="J901" s="3"/>
    </row>
    <row r="902" spans="6:10" ht="12.75" x14ac:dyDescent="0.2">
      <c r="F902" s="3"/>
      <c r="G902" s="3"/>
      <c r="H902" s="3"/>
      <c r="I902" s="3"/>
      <c r="J902" s="3"/>
    </row>
    <row r="903" spans="6:10" ht="12.75" x14ac:dyDescent="0.2">
      <c r="F903" s="3"/>
      <c r="G903" s="3"/>
      <c r="H903" s="3"/>
      <c r="I903" s="3"/>
      <c r="J903" s="3"/>
    </row>
    <row r="904" spans="6:10" ht="12.75" x14ac:dyDescent="0.2">
      <c r="F904" s="3"/>
      <c r="G904" s="3"/>
      <c r="H904" s="3"/>
      <c r="I904" s="3"/>
      <c r="J904" s="3"/>
    </row>
    <row r="905" spans="6:10" ht="12.75" x14ac:dyDescent="0.2">
      <c r="F905" s="3"/>
      <c r="G905" s="3"/>
      <c r="H905" s="3"/>
      <c r="I905" s="3"/>
      <c r="J905" s="3"/>
    </row>
    <row r="906" spans="6:10" ht="12.75" x14ac:dyDescent="0.2">
      <c r="F906" s="3"/>
      <c r="G906" s="3"/>
      <c r="H906" s="3"/>
      <c r="I906" s="3"/>
      <c r="J906" s="3"/>
    </row>
    <row r="907" spans="6:10" ht="12.75" x14ac:dyDescent="0.2">
      <c r="F907" s="3"/>
      <c r="G907" s="3"/>
      <c r="H907" s="3"/>
      <c r="I907" s="3"/>
      <c r="J907" s="3"/>
    </row>
    <row r="908" spans="6:10" ht="12.75" x14ac:dyDescent="0.2">
      <c r="F908" s="3"/>
      <c r="G908" s="3"/>
      <c r="H908" s="3"/>
      <c r="I908" s="3"/>
      <c r="J908" s="3"/>
    </row>
    <row r="909" spans="6:10" ht="12.75" x14ac:dyDescent="0.2">
      <c r="F909" s="3"/>
      <c r="G909" s="3"/>
      <c r="H909" s="3"/>
      <c r="I909" s="3"/>
      <c r="J909" s="3"/>
    </row>
    <row r="910" spans="6:10" ht="12.75" x14ac:dyDescent="0.2">
      <c r="F910" s="3"/>
      <c r="G910" s="3"/>
      <c r="H910" s="3"/>
      <c r="I910" s="3"/>
      <c r="J910" s="3"/>
    </row>
    <row r="911" spans="6:10" ht="12.75" x14ac:dyDescent="0.2">
      <c r="F911" s="3"/>
      <c r="G911" s="3"/>
      <c r="H911" s="3"/>
      <c r="I911" s="3"/>
      <c r="J911" s="3"/>
    </row>
    <row r="912" spans="6:10" ht="12.75" x14ac:dyDescent="0.2">
      <c r="F912" s="3"/>
      <c r="G912" s="3"/>
      <c r="H912" s="3"/>
      <c r="I912" s="3"/>
      <c r="J912" s="3"/>
    </row>
    <row r="913" spans="6:10" ht="12.75" x14ac:dyDescent="0.2">
      <c r="F913" s="3"/>
      <c r="G913" s="3"/>
      <c r="H913" s="3"/>
      <c r="I913" s="3"/>
      <c r="J913" s="3"/>
    </row>
    <row r="914" spans="6:10" ht="12.75" x14ac:dyDescent="0.2">
      <c r="F914" s="3"/>
      <c r="G914" s="3"/>
      <c r="H914" s="3"/>
      <c r="I914" s="3"/>
      <c r="J914" s="3"/>
    </row>
    <row r="915" spans="6:10" ht="12.75" x14ac:dyDescent="0.2">
      <c r="F915" s="3"/>
      <c r="G915" s="3"/>
      <c r="H915" s="3"/>
      <c r="I915" s="3"/>
      <c r="J915" s="3"/>
    </row>
    <row r="916" spans="6:10" ht="12.75" x14ac:dyDescent="0.2">
      <c r="F916" s="3"/>
      <c r="G916" s="3"/>
      <c r="H916" s="3"/>
      <c r="I916" s="3"/>
      <c r="J916" s="3"/>
    </row>
    <row r="917" spans="6:10" ht="12.75" x14ac:dyDescent="0.2">
      <c r="F917" s="3"/>
      <c r="G917" s="3"/>
      <c r="H917" s="3"/>
      <c r="I917" s="3"/>
      <c r="J917" s="3"/>
    </row>
    <row r="918" spans="6:10" ht="12.75" x14ac:dyDescent="0.2">
      <c r="F918" s="3"/>
      <c r="G918" s="3"/>
      <c r="H918" s="3"/>
      <c r="I918" s="3"/>
      <c r="J918" s="3"/>
    </row>
    <row r="919" spans="6:10" ht="12.75" x14ac:dyDescent="0.2">
      <c r="F919" s="3"/>
      <c r="G919" s="3"/>
      <c r="H919" s="3"/>
      <c r="I919" s="3"/>
      <c r="J919" s="3"/>
    </row>
    <row r="920" spans="6:10" ht="12.75" x14ac:dyDescent="0.2">
      <c r="F920" s="3"/>
      <c r="G920" s="3"/>
      <c r="H920" s="3"/>
      <c r="I920" s="3"/>
      <c r="J920" s="3"/>
    </row>
    <row r="921" spans="6:10" ht="12.75" x14ac:dyDescent="0.2">
      <c r="F921" s="3"/>
      <c r="G921" s="3"/>
      <c r="H921" s="3"/>
      <c r="I921" s="3"/>
      <c r="J921" s="3"/>
    </row>
    <row r="922" spans="6:10" ht="12.75" x14ac:dyDescent="0.2">
      <c r="F922" s="3"/>
      <c r="G922" s="3"/>
      <c r="H922" s="3"/>
      <c r="I922" s="3"/>
      <c r="J922" s="3"/>
    </row>
    <row r="923" spans="6:10" ht="12.75" x14ac:dyDescent="0.2">
      <c r="F923" s="3"/>
      <c r="G923" s="3"/>
      <c r="H923" s="3"/>
      <c r="I923" s="3"/>
      <c r="J923" s="3"/>
    </row>
    <row r="924" spans="6:10" ht="12.75" x14ac:dyDescent="0.2">
      <c r="F924" s="3"/>
      <c r="G924" s="3"/>
      <c r="H924" s="3"/>
      <c r="I924" s="3"/>
      <c r="J924" s="3"/>
    </row>
    <row r="925" spans="6:10" ht="12.75" x14ac:dyDescent="0.2">
      <c r="F925" s="3"/>
      <c r="G925" s="3"/>
      <c r="H925" s="3"/>
      <c r="I925" s="3"/>
      <c r="J925" s="3"/>
    </row>
    <row r="926" spans="6:10" ht="12.75" x14ac:dyDescent="0.2">
      <c r="F926" s="3"/>
      <c r="G926" s="3"/>
      <c r="H926" s="3"/>
      <c r="I926" s="3"/>
      <c r="J926" s="3"/>
    </row>
    <row r="927" spans="6:10" ht="12.75" x14ac:dyDescent="0.2">
      <c r="F927" s="3"/>
      <c r="G927" s="3"/>
      <c r="H927" s="3"/>
      <c r="I927" s="3"/>
      <c r="J927" s="3"/>
    </row>
    <row r="928" spans="6:10" ht="12.75" x14ac:dyDescent="0.2">
      <c r="F928" s="3"/>
      <c r="G928" s="3"/>
      <c r="H928" s="3"/>
      <c r="I928" s="3"/>
      <c r="J928" s="3"/>
    </row>
    <row r="929" spans="6:10" ht="12.75" x14ac:dyDescent="0.2">
      <c r="F929" s="3"/>
      <c r="G929" s="3"/>
      <c r="H929" s="3"/>
      <c r="I929" s="3"/>
      <c r="J929" s="3"/>
    </row>
    <row r="930" spans="6:10" ht="12.75" x14ac:dyDescent="0.2">
      <c r="F930" s="3"/>
      <c r="G930" s="3"/>
      <c r="H930" s="3"/>
      <c r="I930" s="3"/>
      <c r="J930" s="3"/>
    </row>
    <row r="931" spans="6:10" ht="12.75" x14ac:dyDescent="0.2">
      <c r="F931" s="3"/>
      <c r="G931" s="3"/>
      <c r="H931" s="3"/>
      <c r="I931" s="3"/>
      <c r="J931" s="3"/>
    </row>
    <row r="932" spans="6:10" ht="12.75" x14ac:dyDescent="0.2">
      <c r="F932" s="3"/>
      <c r="G932" s="3"/>
      <c r="H932" s="3"/>
      <c r="I932" s="3"/>
      <c r="J932" s="3"/>
    </row>
    <row r="933" spans="6:10" ht="12.75" x14ac:dyDescent="0.2">
      <c r="F933" s="3"/>
      <c r="G933" s="3"/>
      <c r="H933" s="3"/>
      <c r="I933" s="3"/>
      <c r="J933" s="3"/>
    </row>
    <row r="934" spans="6:10" ht="12.75" x14ac:dyDescent="0.2">
      <c r="F934" s="3"/>
      <c r="G934" s="3"/>
      <c r="H934" s="3"/>
      <c r="I934" s="3"/>
      <c r="J934" s="3"/>
    </row>
    <row r="935" spans="6:10" ht="12.75" x14ac:dyDescent="0.2">
      <c r="F935" s="3"/>
      <c r="G935" s="3"/>
      <c r="H935" s="3"/>
      <c r="I935" s="3"/>
      <c r="J935" s="3"/>
    </row>
    <row r="936" spans="6:10" ht="12.75" x14ac:dyDescent="0.2">
      <c r="F936" s="3"/>
      <c r="G936" s="3"/>
      <c r="H936" s="3"/>
      <c r="I936" s="3"/>
      <c r="J936" s="3"/>
    </row>
    <row r="937" spans="6:10" ht="12.75" x14ac:dyDescent="0.2">
      <c r="F937" s="3"/>
      <c r="G937" s="3"/>
      <c r="H937" s="3"/>
      <c r="I937" s="3"/>
      <c r="J937" s="3"/>
    </row>
    <row r="938" spans="6:10" ht="12.75" x14ac:dyDescent="0.2">
      <c r="F938" s="3"/>
      <c r="G938" s="3"/>
      <c r="H938" s="3"/>
      <c r="I938" s="3"/>
      <c r="J938" s="3"/>
    </row>
    <row r="939" spans="6:10" ht="12.75" x14ac:dyDescent="0.2">
      <c r="F939" s="3"/>
      <c r="G939" s="3"/>
      <c r="H939" s="3"/>
      <c r="I939" s="3"/>
      <c r="J939" s="3"/>
    </row>
    <row r="940" spans="6:10" ht="12.75" x14ac:dyDescent="0.2">
      <c r="F940" s="3"/>
      <c r="G940" s="3"/>
      <c r="H940" s="3"/>
      <c r="I940" s="3"/>
      <c r="J940" s="3"/>
    </row>
    <row r="941" spans="6:10" ht="12.75" x14ac:dyDescent="0.2">
      <c r="F941" s="3"/>
      <c r="G941" s="3"/>
      <c r="H941" s="3"/>
      <c r="I941" s="3"/>
      <c r="J941" s="3"/>
    </row>
    <row r="942" spans="6:10" ht="12.75" x14ac:dyDescent="0.2">
      <c r="F942" s="3"/>
      <c r="G942" s="3"/>
      <c r="H942" s="3"/>
      <c r="I942" s="3"/>
      <c r="J942" s="3"/>
    </row>
    <row r="943" spans="6:10" ht="12.75" x14ac:dyDescent="0.2">
      <c r="F943" s="3"/>
      <c r="G943" s="3"/>
      <c r="H943" s="3"/>
      <c r="I943" s="3"/>
      <c r="J943" s="3"/>
    </row>
    <row r="944" spans="6:10" ht="12.75" x14ac:dyDescent="0.2">
      <c r="F944" s="3"/>
      <c r="G944" s="3"/>
      <c r="H944" s="3"/>
      <c r="I944" s="3"/>
      <c r="J944" s="3"/>
    </row>
    <row r="945" spans="6:10" ht="12.75" x14ac:dyDescent="0.2">
      <c r="F945" s="3"/>
      <c r="G945" s="3"/>
      <c r="H945" s="3"/>
      <c r="I945" s="3"/>
      <c r="J945" s="3"/>
    </row>
    <row r="946" spans="6:10" ht="12.75" x14ac:dyDescent="0.2">
      <c r="F946" s="3"/>
      <c r="G946" s="3"/>
      <c r="H946" s="3"/>
      <c r="I946" s="3"/>
      <c r="J946" s="3"/>
    </row>
    <row r="947" spans="6:10" ht="12.75" x14ac:dyDescent="0.2">
      <c r="F947" s="3"/>
      <c r="G947" s="3"/>
      <c r="H947" s="3"/>
      <c r="I947" s="3"/>
      <c r="J947" s="3"/>
    </row>
    <row r="948" spans="6:10" ht="12.75" x14ac:dyDescent="0.2">
      <c r="F948" s="3"/>
      <c r="G948" s="3"/>
      <c r="H948" s="3"/>
      <c r="I948" s="3"/>
      <c r="J948" s="3"/>
    </row>
    <row r="949" spans="6:10" ht="12.75" x14ac:dyDescent="0.2">
      <c r="F949" s="3"/>
      <c r="G949" s="3"/>
      <c r="H949" s="3"/>
      <c r="I949" s="3"/>
      <c r="J949" s="3"/>
    </row>
    <row r="950" spans="6:10" ht="12.75" x14ac:dyDescent="0.2">
      <c r="F950" s="3"/>
      <c r="G950" s="3"/>
      <c r="H950" s="3"/>
      <c r="I950" s="3"/>
      <c r="J950" s="3"/>
    </row>
    <row r="951" spans="6:10" ht="12.75" x14ac:dyDescent="0.2">
      <c r="F951" s="3"/>
      <c r="G951" s="3"/>
      <c r="H951" s="3"/>
      <c r="I951" s="3"/>
      <c r="J951" s="3"/>
    </row>
    <row r="952" spans="6:10" ht="12.75" x14ac:dyDescent="0.2">
      <c r="F952" s="3"/>
      <c r="G952" s="3"/>
      <c r="H952" s="3"/>
      <c r="I952" s="3"/>
      <c r="J952" s="3"/>
    </row>
    <row r="953" spans="6:10" ht="12.75" x14ac:dyDescent="0.2">
      <c r="F953" s="3"/>
      <c r="G953" s="3"/>
      <c r="H953" s="3"/>
      <c r="I953" s="3"/>
      <c r="J953" s="3"/>
    </row>
    <row r="954" spans="6:10" ht="12.75" x14ac:dyDescent="0.2">
      <c r="F954" s="3"/>
      <c r="G954" s="3"/>
      <c r="H954" s="3"/>
      <c r="I954" s="3"/>
      <c r="J954" s="3"/>
    </row>
    <row r="955" spans="6:10" ht="12.75" x14ac:dyDescent="0.2">
      <c r="F955" s="3"/>
      <c r="G955" s="3"/>
      <c r="H955" s="3"/>
      <c r="I955" s="3"/>
      <c r="J955" s="3"/>
    </row>
    <row r="956" spans="6:10" ht="12.75" x14ac:dyDescent="0.2">
      <c r="F956" s="3"/>
      <c r="G956" s="3"/>
      <c r="H956" s="3"/>
      <c r="I956" s="3"/>
      <c r="J956" s="3"/>
    </row>
    <row r="957" spans="6:10" ht="12.75" x14ac:dyDescent="0.2">
      <c r="F957" s="3"/>
      <c r="G957" s="3"/>
      <c r="H957" s="3"/>
      <c r="I957" s="3"/>
      <c r="J957" s="3"/>
    </row>
    <row r="958" spans="6:10" ht="12.75" x14ac:dyDescent="0.2">
      <c r="F958" s="3"/>
      <c r="G958" s="3"/>
      <c r="H958" s="3"/>
      <c r="I958" s="3"/>
      <c r="J958" s="3"/>
    </row>
    <row r="959" spans="6:10" ht="12.75" x14ac:dyDescent="0.2">
      <c r="F959" s="3"/>
      <c r="G959" s="3"/>
      <c r="H959" s="3"/>
      <c r="I959" s="3"/>
      <c r="J959" s="3"/>
    </row>
    <row r="960" spans="6:10" ht="12.75" x14ac:dyDescent="0.2">
      <c r="F960" s="3"/>
      <c r="G960" s="3"/>
      <c r="H960" s="3"/>
      <c r="I960" s="3"/>
      <c r="J960" s="3"/>
    </row>
    <row r="961" spans="6:10" ht="12.75" x14ac:dyDescent="0.2">
      <c r="F961" s="3"/>
      <c r="G961" s="3"/>
      <c r="H961" s="3"/>
      <c r="I961" s="3"/>
      <c r="J961" s="3"/>
    </row>
    <row r="962" spans="6:10" ht="12.75" x14ac:dyDescent="0.2">
      <c r="F962" s="3"/>
      <c r="G962" s="3"/>
      <c r="H962" s="3"/>
      <c r="I962" s="3"/>
      <c r="J962" s="3"/>
    </row>
    <row r="963" spans="6:10" ht="12.75" x14ac:dyDescent="0.2">
      <c r="F963" s="3"/>
      <c r="G963" s="3"/>
      <c r="H963" s="3"/>
      <c r="I963" s="3"/>
      <c r="J963" s="3"/>
    </row>
    <row r="964" spans="6:10" ht="12.75" x14ac:dyDescent="0.2">
      <c r="F964" s="3"/>
      <c r="G964" s="3"/>
      <c r="H964" s="3"/>
      <c r="I964" s="3"/>
      <c r="J964" s="3"/>
    </row>
    <row r="965" spans="6:10" ht="12.75" x14ac:dyDescent="0.2">
      <c r="F965" s="3"/>
      <c r="G965" s="3"/>
      <c r="H965" s="3"/>
      <c r="I965" s="3"/>
      <c r="J965" s="3"/>
    </row>
    <row r="966" spans="6:10" ht="12.75" x14ac:dyDescent="0.2">
      <c r="F966" s="3"/>
      <c r="G966" s="3"/>
      <c r="H966" s="3"/>
      <c r="I966" s="3"/>
      <c r="J966" s="3"/>
    </row>
    <row r="967" spans="6:10" ht="12.75" x14ac:dyDescent="0.2">
      <c r="F967" s="3"/>
      <c r="G967" s="3"/>
      <c r="H967" s="3"/>
      <c r="I967" s="3"/>
      <c r="J967" s="3"/>
    </row>
    <row r="968" spans="6:10" ht="12.75" x14ac:dyDescent="0.2">
      <c r="F968" s="3"/>
      <c r="G968" s="3"/>
      <c r="H968" s="3"/>
      <c r="I968" s="3"/>
      <c r="J968" s="3"/>
    </row>
    <row r="969" spans="6:10" ht="12.75" x14ac:dyDescent="0.2">
      <c r="F969" s="3"/>
      <c r="G969" s="3"/>
      <c r="H969" s="3"/>
      <c r="I969" s="3"/>
      <c r="J969" s="3"/>
    </row>
    <row r="970" spans="6:10" ht="12.75" x14ac:dyDescent="0.2">
      <c r="F970" s="3"/>
      <c r="G970" s="3"/>
      <c r="H970" s="3"/>
      <c r="I970" s="3"/>
      <c r="J970" s="3"/>
    </row>
    <row r="971" spans="6:10" ht="12.75" x14ac:dyDescent="0.2">
      <c r="F971" s="3"/>
      <c r="G971" s="3"/>
      <c r="H971" s="3"/>
      <c r="I971" s="3"/>
      <c r="J971" s="3"/>
    </row>
    <row r="972" spans="6:10" ht="12.75" x14ac:dyDescent="0.2">
      <c r="F972" s="3"/>
      <c r="G972" s="3"/>
      <c r="H972" s="3"/>
      <c r="I972" s="3"/>
      <c r="J972" s="3"/>
    </row>
    <row r="973" spans="6:10" ht="12.75" x14ac:dyDescent="0.2">
      <c r="F973" s="3"/>
      <c r="G973" s="3"/>
      <c r="H973" s="3"/>
      <c r="I973" s="3"/>
      <c r="J973" s="3"/>
    </row>
    <row r="974" spans="6:10" ht="12.75" x14ac:dyDescent="0.2">
      <c r="F974" s="3"/>
      <c r="G974" s="3"/>
      <c r="H974" s="3"/>
      <c r="I974" s="3"/>
      <c r="J974" s="3"/>
    </row>
    <row r="975" spans="6:10" ht="12.75" x14ac:dyDescent="0.2">
      <c r="F975" s="3"/>
      <c r="G975" s="3"/>
      <c r="H975" s="3"/>
      <c r="I975" s="3"/>
      <c r="J975" s="3"/>
    </row>
    <row r="976" spans="6:10" ht="12.75" x14ac:dyDescent="0.2">
      <c r="F976" s="3"/>
      <c r="G976" s="3"/>
      <c r="H976" s="3"/>
      <c r="I976" s="3"/>
      <c r="J976" s="3"/>
    </row>
    <row r="977" spans="6:10" ht="12.75" x14ac:dyDescent="0.2">
      <c r="F977" s="3"/>
      <c r="G977" s="3"/>
      <c r="H977" s="3"/>
      <c r="I977" s="3"/>
      <c r="J977" s="3"/>
    </row>
    <row r="978" spans="6:10" ht="12.75" x14ac:dyDescent="0.2">
      <c r="F978" s="3"/>
      <c r="G978" s="3"/>
      <c r="H978" s="3"/>
      <c r="I978" s="3"/>
      <c r="J978" s="3"/>
    </row>
    <row r="979" spans="6:10" ht="12.75" x14ac:dyDescent="0.2">
      <c r="F979" s="3"/>
      <c r="G979" s="3"/>
      <c r="H979" s="3"/>
      <c r="I979" s="3"/>
      <c r="J979" s="3"/>
    </row>
    <row r="980" spans="6:10" ht="12.75" x14ac:dyDescent="0.2">
      <c r="F980" s="3"/>
      <c r="G980" s="3"/>
      <c r="H980" s="3"/>
      <c r="I980" s="3"/>
      <c r="J980" s="3"/>
    </row>
    <row r="981" spans="6:10" ht="12.75" x14ac:dyDescent="0.2">
      <c r="F981" s="3"/>
      <c r="G981" s="3"/>
      <c r="H981" s="3"/>
      <c r="I981" s="3"/>
      <c r="J981" s="3"/>
    </row>
    <row r="982" spans="6:10" ht="12.75" x14ac:dyDescent="0.2">
      <c r="F982" s="3"/>
      <c r="G982" s="3"/>
      <c r="H982" s="3"/>
      <c r="I982" s="3"/>
      <c r="J982" s="3"/>
    </row>
    <row r="983" spans="6:10" ht="12.75" x14ac:dyDescent="0.2">
      <c r="F983" s="3"/>
      <c r="G983" s="3"/>
      <c r="H983" s="3"/>
      <c r="I983" s="3"/>
      <c r="J983" s="3"/>
    </row>
    <row r="984" spans="6:10" ht="12.75" x14ac:dyDescent="0.2">
      <c r="F984" s="3"/>
      <c r="G984" s="3"/>
      <c r="H984" s="3"/>
      <c r="I984" s="3"/>
      <c r="J984" s="3"/>
    </row>
    <row r="985" spans="6:10" ht="12.75" x14ac:dyDescent="0.2">
      <c r="F985" s="3"/>
      <c r="G985" s="3"/>
      <c r="H985" s="3"/>
      <c r="I985" s="3"/>
      <c r="J985" s="3"/>
    </row>
    <row r="986" spans="6:10" ht="12.75" x14ac:dyDescent="0.2">
      <c r="F986" s="3"/>
      <c r="G986" s="3"/>
      <c r="H986" s="3"/>
      <c r="I986" s="3"/>
      <c r="J986" s="3"/>
    </row>
    <row r="987" spans="6:10" ht="12.75" x14ac:dyDescent="0.2">
      <c r="F987" s="3"/>
      <c r="G987" s="3"/>
      <c r="H987" s="3"/>
      <c r="I987" s="3"/>
      <c r="J987" s="3"/>
    </row>
    <row r="988" spans="6:10" ht="12.75" x14ac:dyDescent="0.2">
      <c r="F988" s="3"/>
      <c r="G988" s="3"/>
      <c r="H988" s="3"/>
      <c r="I988" s="3"/>
      <c r="J988" s="3"/>
    </row>
    <row r="989" spans="6:10" ht="12.75" x14ac:dyDescent="0.2">
      <c r="F989" s="3"/>
      <c r="G989" s="3"/>
      <c r="H989" s="3"/>
      <c r="I989" s="3"/>
      <c r="J989" s="3"/>
    </row>
    <row r="990" spans="6:10" ht="12.75" x14ac:dyDescent="0.2">
      <c r="F990" s="3"/>
      <c r="G990" s="3"/>
      <c r="H990" s="3"/>
      <c r="I990" s="3"/>
      <c r="J990" s="3"/>
    </row>
    <row r="991" spans="6:10" ht="12.75" x14ac:dyDescent="0.2">
      <c r="F991" s="3"/>
      <c r="G991" s="3"/>
      <c r="H991" s="3"/>
      <c r="I991" s="3"/>
      <c r="J991" s="3"/>
    </row>
    <row r="992" spans="6:10" ht="12.75" x14ac:dyDescent="0.2">
      <c r="F992" s="3"/>
      <c r="G992" s="3"/>
      <c r="H992" s="3"/>
      <c r="I992" s="3"/>
      <c r="J992" s="3"/>
    </row>
    <row r="993" spans="6:10" ht="12.75" x14ac:dyDescent="0.2">
      <c r="F993" s="3"/>
      <c r="G993" s="3"/>
      <c r="H993" s="3"/>
      <c r="I993" s="3"/>
      <c r="J993" s="3"/>
    </row>
    <row r="994" spans="6:10" ht="12.75" x14ac:dyDescent="0.2">
      <c r="F994" s="3"/>
      <c r="G994" s="3"/>
      <c r="H994" s="3"/>
      <c r="I994" s="3"/>
      <c r="J994" s="3"/>
    </row>
    <row r="995" spans="6:10" ht="12.75" x14ac:dyDescent="0.2">
      <c r="F995" s="3"/>
      <c r="G995" s="3"/>
      <c r="H995" s="3"/>
      <c r="I995" s="3"/>
      <c r="J995" s="3"/>
    </row>
    <row r="996" spans="6:10" ht="12.75" x14ac:dyDescent="0.2">
      <c r="F996" s="3"/>
      <c r="G996" s="3"/>
      <c r="H996" s="3"/>
      <c r="I996" s="3"/>
      <c r="J996" s="3"/>
    </row>
    <row r="997" spans="6:10" ht="12.75" x14ac:dyDescent="0.2">
      <c r="F997" s="3"/>
      <c r="G997" s="3"/>
      <c r="H997" s="3"/>
      <c r="I997" s="3"/>
      <c r="J997" s="3"/>
    </row>
    <row r="998" spans="6:10" ht="12.75" x14ac:dyDescent="0.2">
      <c r="F998" s="3"/>
      <c r="G998" s="3"/>
      <c r="H998" s="3"/>
      <c r="I998" s="3"/>
      <c r="J998" s="3"/>
    </row>
    <row r="999" spans="6:10" ht="12.75" x14ac:dyDescent="0.2">
      <c r="F999" s="3"/>
      <c r="G999" s="3"/>
      <c r="H999" s="3"/>
      <c r="I999" s="3"/>
      <c r="J999" s="3"/>
    </row>
    <row r="1000" spans="6:10" ht="12.75" x14ac:dyDescent="0.2">
      <c r="F1000" s="3"/>
      <c r="G1000" s="3"/>
      <c r="H1000" s="3"/>
      <c r="I1000" s="3"/>
      <c r="J1000" s="3"/>
    </row>
    <row r="1001" spans="6:10" ht="12.75" x14ac:dyDescent="0.2">
      <c r="F1001" s="3"/>
      <c r="G1001" s="3"/>
      <c r="H1001" s="3"/>
      <c r="I1001" s="3"/>
      <c r="J1001" s="3"/>
    </row>
    <row r="1002" spans="6:10" ht="12.75" x14ac:dyDescent="0.2">
      <c r="F1002" s="3"/>
      <c r="G1002" s="3"/>
      <c r="H1002" s="3"/>
      <c r="I1002" s="3"/>
      <c r="J1002" s="3"/>
    </row>
    <row r="1003" spans="6:10" ht="12.75" x14ac:dyDescent="0.2">
      <c r="F1003" s="3"/>
      <c r="G1003" s="3"/>
      <c r="H1003" s="3"/>
      <c r="I1003" s="3"/>
      <c r="J1003" s="3"/>
    </row>
    <row r="1004" spans="6:10" ht="12.75" x14ac:dyDescent="0.2">
      <c r="F1004" s="3"/>
      <c r="G1004" s="3"/>
      <c r="H1004" s="3"/>
      <c r="I1004" s="3"/>
      <c r="J1004" s="3"/>
    </row>
    <row r="1005" spans="6:10" ht="12.75" x14ac:dyDescent="0.2">
      <c r="F1005" s="3"/>
      <c r="G1005" s="3"/>
      <c r="H1005" s="3"/>
      <c r="I1005" s="3"/>
      <c r="J1005" s="3"/>
    </row>
    <row r="1006" spans="6:10" ht="12.75" x14ac:dyDescent="0.2">
      <c r="F1006" s="3"/>
      <c r="G1006" s="3"/>
      <c r="H1006" s="3"/>
      <c r="I1006" s="3"/>
      <c r="J1006" s="3"/>
    </row>
    <row r="1007" spans="6:10" ht="12.75" x14ac:dyDescent="0.2">
      <c r="F1007" s="3"/>
      <c r="G1007" s="3"/>
      <c r="H1007" s="3"/>
      <c r="I1007" s="3"/>
      <c r="J1007" s="3"/>
    </row>
    <row r="1008" spans="6:10" ht="12.75" x14ac:dyDescent="0.2">
      <c r="F1008" s="3"/>
      <c r="G1008" s="3"/>
      <c r="H1008" s="3"/>
      <c r="I1008" s="3"/>
      <c r="J1008" s="3"/>
    </row>
    <row r="1009" spans="6:10" ht="12.75" x14ac:dyDescent="0.2">
      <c r="F1009" s="3"/>
      <c r="G1009" s="3"/>
      <c r="H1009" s="3"/>
      <c r="I1009" s="3"/>
      <c r="J1009" s="3"/>
    </row>
    <row r="1010" spans="6:10" ht="12.75" x14ac:dyDescent="0.2">
      <c r="F1010" s="3"/>
      <c r="G1010" s="3"/>
      <c r="H1010" s="3"/>
      <c r="I1010" s="3"/>
      <c r="J1010" s="3"/>
    </row>
    <row r="1011" spans="6:10" ht="12.75" x14ac:dyDescent="0.2">
      <c r="F1011" s="3"/>
      <c r="G1011" s="3"/>
      <c r="H1011" s="3"/>
      <c r="I1011" s="3"/>
      <c r="J1011" s="3"/>
    </row>
    <row r="1012" spans="6:10" ht="12.75" x14ac:dyDescent="0.2">
      <c r="F1012" s="3"/>
      <c r="G1012" s="3"/>
      <c r="H1012" s="3"/>
      <c r="I1012" s="3"/>
      <c r="J1012" s="3"/>
    </row>
    <row r="1013" spans="6:10" ht="12.75" x14ac:dyDescent="0.2">
      <c r="F1013" s="3"/>
      <c r="G1013" s="3"/>
      <c r="H1013" s="3"/>
      <c r="I1013" s="3"/>
      <c r="J1013" s="3"/>
    </row>
    <row r="1014" spans="6:10" ht="12.75" x14ac:dyDescent="0.2">
      <c r="F1014" s="3"/>
      <c r="G1014" s="3"/>
      <c r="H1014" s="3"/>
      <c r="I1014" s="3"/>
      <c r="J1014" s="3"/>
    </row>
    <row r="1015" spans="6:10" ht="12.75" x14ac:dyDescent="0.2">
      <c r="F1015" s="3"/>
      <c r="G1015" s="3"/>
      <c r="H1015" s="3"/>
      <c r="I1015" s="3"/>
      <c r="J1015" s="3"/>
    </row>
    <row r="1016" spans="6:10" ht="12.75" x14ac:dyDescent="0.2">
      <c r="F1016" s="3"/>
      <c r="G1016" s="3"/>
      <c r="H1016" s="3"/>
      <c r="I1016" s="3"/>
      <c r="J1016" s="3"/>
    </row>
    <row r="1017" spans="6:10" ht="12.75" x14ac:dyDescent="0.2">
      <c r="F1017" s="3"/>
      <c r="G1017" s="3"/>
      <c r="H1017" s="3"/>
      <c r="I1017" s="3"/>
      <c r="J1017" s="3"/>
    </row>
    <row r="1018" spans="6:10" ht="12.75" x14ac:dyDescent="0.2">
      <c r="F1018" s="3"/>
      <c r="G1018" s="3"/>
      <c r="H1018" s="3"/>
      <c r="I1018" s="3"/>
      <c r="J1018" s="3"/>
    </row>
    <row r="1019" spans="6:10" ht="12.75" x14ac:dyDescent="0.2">
      <c r="F1019" s="3"/>
      <c r="G1019" s="3"/>
      <c r="H1019" s="3"/>
      <c r="I1019" s="3"/>
      <c r="J1019" s="3"/>
    </row>
    <row r="1020" spans="6:10" ht="12.75" x14ac:dyDescent="0.2">
      <c r="F1020" s="3"/>
      <c r="G1020" s="3"/>
      <c r="H1020" s="3"/>
      <c r="I1020" s="3"/>
      <c r="J1020" s="3"/>
    </row>
    <row r="1021" spans="6:10" ht="12.75" x14ac:dyDescent="0.2">
      <c r="F1021" s="3"/>
      <c r="G1021" s="3"/>
      <c r="H1021" s="3"/>
      <c r="I1021" s="3"/>
      <c r="J1021" s="3"/>
    </row>
    <row r="1022" spans="6:10" ht="12.75" x14ac:dyDescent="0.2">
      <c r="F1022" s="3"/>
      <c r="G1022" s="3"/>
      <c r="H1022" s="3"/>
      <c r="I1022" s="3"/>
      <c r="J1022" s="3"/>
    </row>
    <row r="1023" spans="6:10" ht="12.75" x14ac:dyDescent="0.2">
      <c r="F1023" s="3"/>
      <c r="G1023" s="3"/>
      <c r="H1023" s="3"/>
      <c r="I1023" s="3"/>
      <c r="J1023" s="3"/>
    </row>
    <row r="1024" spans="6:10" ht="12.75" x14ac:dyDescent="0.2">
      <c r="F1024" s="3"/>
      <c r="G1024" s="3"/>
      <c r="H1024" s="3"/>
      <c r="I1024" s="3"/>
      <c r="J1024" s="3"/>
    </row>
    <row r="1025" spans="6:10" ht="12.75" x14ac:dyDescent="0.2">
      <c r="F1025" s="3"/>
      <c r="G1025" s="3"/>
      <c r="H1025" s="3"/>
      <c r="I1025" s="3"/>
      <c r="J1025" s="3"/>
    </row>
    <row r="1026" spans="6:10" ht="12.75" x14ac:dyDescent="0.2">
      <c r="F1026" s="3"/>
      <c r="G1026" s="3"/>
      <c r="H1026" s="3"/>
      <c r="I1026" s="3"/>
      <c r="J1026" s="3"/>
    </row>
    <row r="1027" spans="6:10" ht="12.75" x14ac:dyDescent="0.2">
      <c r="F1027" s="3"/>
      <c r="G1027" s="3"/>
      <c r="H1027" s="3"/>
      <c r="I1027" s="3"/>
      <c r="J1027" s="3"/>
    </row>
    <row r="1028" spans="6:10" ht="12.75" x14ac:dyDescent="0.2">
      <c r="F1028" s="3"/>
      <c r="G1028" s="3"/>
      <c r="H1028" s="3"/>
      <c r="I1028" s="3"/>
      <c r="J1028" s="3"/>
    </row>
    <row r="1029" spans="6:10" ht="12.75" x14ac:dyDescent="0.2">
      <c r="F1029" s="3"/>
      <c r="G1029" s="3"/>
      <c r="H1029" s="3"/>
      <c r="I1029" s="3"/>
      <c r="J1029" s="3"/>
    </row>
    <row r="1030" spans="6:10" ht="12.75" x14ac:dyDescent="0.2">
      <c r="F1030" s="3"/>
      <c r="G1030" s="3"/>
      <c r="H1030" s="3"/>
      <c r="I1030" s="3"/>
      <c r="J1030" s="3"/>
    </row>
    <row r="1031" spans="6:10" ht="12.75" x14ac:dyDescent="0.2">
      <c r="F1031" s="3"/>
      <c r="G1031" s="3"/>
      <c r="H1031" s="3"/>
      <c r="I1031" s="3"/>
      <c r="J1031" s="3"/>
    </row>
    <row r="1032" spans="6:10" ht="12.75" x14ac:dyDescent="0.2">
      <c r="F1032" s="3"/>
      <c r="G1032" s="3"/>
      <c r="H1032" s="3"/>
      <c r="I1032" s="3"/>
      <c r="J1032" s="3"/>
    </row>
    <row r="1033" spans="6:10" ht="12.75" x14ac:dyDescent="0.2">
      <c r="F1033" s="3"/>
      <c r="G1033" s="3"/>
      <c r="H1033" s="3"/>
      <c r="I1033" s="3"/>
      <c r="J1033" s="3"/>
    </row>
    <row r="1034" spans="6:10" ht="12.75" x14ac:dyDescent="0.2">
      <c r="F1034" s="3"/>
      <c r="G1034" s="3"/>
      <c r="H1034" s="3"/>
      <c r="I1034" s="3"/>
      <c r="J1034" s="3"/>
    </row>
    <row r="1035" spans="6:10" ht="12.75" x14ac:dyDescent="0.2">
      <c r="F1035" s="3"/>
      <c r="G1035" s="3"/>
      <c r="H1035" s="3"/>
      <c r="I1035" s="3"/>
      <c r="J1035" s="3"/>
    </row>
    <row r="1036" spans="6:10" ht="12.75" x14ac:dyDescent="0.2">
      <c r="F1036" s="3"/>
      <c r="G1036" s="3"/>
      <c r="H1036" s="3"/>
      <c r="I1036" s="3"/>
      <c r="J1036" s="3"/>
    </row>
    <row r="1037" spans="6:10" ht="12.75" x14ac:dyDescent="0.2">
      <c r="F1037" s="3"/>
      <c r="G1037" s="3"/>
      <c r="H1037" s="3"/>
      <c r="I1037" s="3"/>
      <c r="J1037" s="3"/>
    </row>
    <row r="1038" spans="6:10" ht="12.75" x14ac:dyDescent="0.2">
      <c r="F1038" s="3"/>
      <c r="G1038" s="3"/>
      <c r="H1038" s="3"/>
      <c r="I1038" s="3"/>
      <c r="J1038" s="3"/>
    </row>
    <row r="1039" spans="6:10" ht="12.75" x14ac:dyDescent="0.2">
      <c r="F1039" s="3"/>
      <c r="G1039" s="3"/>
      <c r="H1039" s="3"/>
      <c r="I1039" s="3"/>
      <c r="J1039" s="3"/>
    </row>
    <row r="1040" spans="6:10" ht="12.75" x14ac:dyDescent="0.2">
      <c r="F1040" s="3"/>
      <c r="G1040" s="3"/>
      <c r="H1040" s="3"/>
      <c r="I1040" s="3"/>
      <c r="J1040" s="3"/>
    </row>
    <row r="1041" spans="6:10" ht="12.75" x14ac:dyDescent="0.2">
      <c r="F1041" s="3"/>
      <c r="G1041" s="3"/>
      <c r="H1041" s="3"/>
      <c r="I1041" s="3"/>
      <c r="J1041" s="3"/>
    </row>
    <row r="1042" spans="6:10" ht="12.75" x14ac:dyDescent="0.2">
      <c r="F1042" s="3"/>
      <c r="G1042" s="3"/>
      <c r="H1042" s="3"/>
      <c r="I1042" s="3"/>
      <c r="J1042" s="3"/>
    </row>
    <row r="1043" spans="6:10" ht="12.75" x14ac:dyDescent="0.2">
      <c r="F1043" s="3"/>
      <c r="G1043" s="3"/>
      <c r="H1043" s="3"/>
      <c r="I1043" s="3"/>
      <c r="J1043" s="3"/>
    </row>
    <row r="1044" spans="6:10" ht="12.75" x14ac:dyDescent="0.2">
      <c r="F1044" s="3"/>
      <c r="G1044" s="3"/>
      <c r="H1044" s="3"/>
      <c r="I1044" s="3"/>
      <c r="J1044" s="3"/>
    </row>
    <row r="1045" spans="6:10" ht="12.75" x14ac:dyDescent="0.2">
      <c r="F1045" s="3"/>
      <c r="G1045" s="3"/>
      <c r="H1045" s="3"/>
      <c r="I1045" s="3"/>
      <c r="J1045" s="3"/>
    </row>
    <row r="1046" spans="6:10" ht="12.75" x14ac:dyDescent="0.2">
      <c r="F1046" s="3"/>
      <c r="G1046" s="3"/>
      <c r="H1046" s="3"/>
      <c r="I1046" s="3"/>
      <c r="J1046" s="3"/>
    </row>
    <row r="1047" spans="6:10" ht="12.75" x14ac:dyDescent="0.2">
      <c r="F1047" s="3"/>
      <c r="G1047" s="3"/>
      <c r="H1047" s="3"/>
      <c r="I1047" s="3"/>
      <c r="J1047" s="3"/>
    </row>
    <row r="1048" spans="6:10" ht="12.75" x14ac:dyDescent="0.2">
      <c r="F1048" s="3"/>
      <c r="G1048" s="3"/>
      <c r="H1048" s="3"/>
      <c r="I1048" s="3"/>
      <c r="J1048" s="3"/>
    </row>
    <row r="1049" spans="6:10" ht="12.75" x14ac:dyDescent="0.2">
      <c r="F1049" s="3"/>
      <c r="G1049" s="3"/>
      <c r="H1049" s="3"/>
      <c r="I1049" s="3"/>
      <c r="J1049" s="3"/>
    </row>
    <row r="1050" spans="6:10" ht="12.75" x14ac:dyDescent="0.2">
      <c r="F1050" s="3"/>
      <c r="G1050" s="3"/>
      <c r="H1050" s="3"/>
      <c r="I1050" s="3"/>
      <c r="J1050" s="3"/>
    </row>
    <row r="1051" spans="6:10" ht="12.75" x14ac:dyDescent="0.2">
      <c r="F1051" s="3"/>
      <c r="G1051" s="3"/>
      <c r="H1051" s="3"/>
      <c r="I1051" s="3"/>
      <c r="J1051" s="3"/>
    </row>
    <row r="1052" spans="6:10" ht="12.75" x14ac:dyDescent="0.2">
      <c r="F1052" s="3"/>
      <c r="G1052" s="3"/>
      <c r="H1052" s="3"/>
      <c r="I1052" s="3"/>
      <c r="J1052" s="3"/>
    </row>
    <row r="1053" spans="6:10" ht="12.75" x14ac:dyDescent="0.2">
      <c r="F1053" s="3"/>
      <c r="G1053" s="3"/>
      <c r="H1053" s="3"/>
      <c r="I1053" s="3"/>
      <c r="J1053" s="3"/>
    </row>
    <row r="1054" spans="6:10" ht="12.75" x14ac:dyDescent="0.2">
      <c r="F1054" s="3"/>
      <c r="G1054" s="3"/>
      <c r="H1054" s="3"/>
      <c r="I1054" s="3"/>
      <c r="J1054" s="3"/>
    </row>
    <row r="1055" spans="6:10" ht="12.75" x14ac:dyDescent="0.2">
      <c r="F1055" s="3"/>
      <c r="G1055" s="3"/>
      <c r="H1055" s="3"/>
      <c r="I1055" s="3"/>
      <c r="J1055" s="3"/>
    </row>
    <row r="1056" spans="6:10" ht="12.75" x14ac:dyDescent="0.2">
      <c r="F1056" s="3"/>
      <c r="G1056" s="3"/>
      <c r="H1056" s="3"/>
      <c r="I1056" s="3"/>
      <c r="J1056" s="3"/>
    </row>
    <row r="1057" spans="6:10" ht="12.75" x14ac:dyDescent="0.2">
      <c r="F1057" s="3"/>
      <c r="G1057" s="3"/>
      <c r="H1057" s="3"/>
      <c r="I1057" s="3"/>
      <c r="J1057" s="3"/>
    </row>
    <row r="1058" spans="6:10" ht="12.75" x14ac:dyDescent="0.2">
      <c r="F1058" s="3"/>
      <c r="G1058" s="3"/>
      <c r="H1058" s="3"/>
      <c r="I1058" s="3"/>
      <c r="J1058" s="3"/>
    </row>
    <row r="1059" spans="6:10" ht="12.75" x14ac:dyDescent="0.2">
      <c r="F1059" s="3"/>
      <c r="G1059" s="3"/>
      <c r="H1059" s="3"/>
      <c r="I1059" s="3"/>
      <c r="J1059" s="3"/>
    </row>
    <row r="1060" spans="6:10" ht="12.75" x14ac:dyDescent="0.2">
      <c r="F1060" s="3"/>
      <c r="G1060" s="3"/>
      <c r="H1060" s="3"/>
      <c r="I1060" s="3"/>
      <c r="J1060" s="3"/>
    </row>
    <row r="1061" spans="6:10" ht="12.75" x14ac:dyDescent="0.2">
      <c r="F1061" s="3"/>
      <c r="G1061" s="3"/>
      <c r="H1061" s="3"/>
      <c r="I1061" s="3"/>
      <c r="J1061" s="3"/>
    </row>
    <row r="1062" spans="6:10" ht="12.75" x14ac:dyDescent="0.2">
      <c r="F1062" s="3"/>
      <c r="G1062" s="3"/>
      <c r="H1062" s="3"/>
      <c r="I1062" s="3"/>
      <c r="J1062" s="3"/>
    </row>
    <row r="1063" spans="6:10" ht="12.75" x14ac:dyDescent="0.2">
      <c r="F1063" s="3"/>
      <c r="G1063" s="3"/>
      <c r="H1063" s="3"/>
      <c r="I1063" s="3"/>
      <c r="J1063" s="3"/>
    </row>
    <row r="1064" spans="6:10" ht="12.75" x14ac:dyDescent="0.2">
      <c r="F1064" s="3"/>
      <c r="G1064" s="3"/>
      <c r="H1064" s="3"/>
      <c r="I1064" s="3"/>
      <c r="J1064" s="3"/>
    </row>
    <row r="1065" spans="6:10" ht="12.75" x14ac:dyDescent="0.2">
      <c r="F1065" s="3"/>
      <c r="G1065" s="3"/>
      <c r="H1065" s="3"/>
      <c r="I1065" s="3"/>
      <c r="J1065" s="3"/>
    </row>
    <row r="1066" spans="6:10" ht="12.75" x14ac:dyDescent="0.2">
      <c r="F1066" s="3"/>
      <c r="G1066" s="3"/>
      <c r="H1066" s="3"/>
      <c r="I1066" s="3"/>
      <c r="J1066" s="3"/>
    </row>
    <row r="1067" spans="6:10" ht="12.75" x14ac:dyDescent="0.2">
      <c r="F1067" s="3"/>
      <c r="G1067" s="3"/>
      <c r="H1067" s="3"/>
      <c r="I1067" s="3"/>
      <c r="J1067" s="3"/>
    </row>
    <row r="1068" spans="6:10" ht="12.75" x14ac:dyDescent="0.2">
      <c r="F1068" s="3"/>
      <c r="G1068" s="3"/>
      <c r="H1068" s="3"/>
      <c r="I1068" s="3"/>
      <c r="J1068" s="3"/>
    </row>
    <row r="1069" spans="6:10" ht="12.75" x14ac:dyDescent="0.2">
      <c r="F1069" s="3"/>
      <c r="G1069" s="3"/>
      <c r="H1069" s="3"/>
      <c r="I1069" s="3"/>
      <c r="J1069" s="3"/>
    </row>
    <row r="1070" spans="6:10" ht="12.75" x14ac:dyDescent="0.2">
      <c r="F1070" s="3"/>
      <c r="G1070" s="3"/>
      <c r="H1070" s="3"/>
      <c r="I1070" s="3"/>
      <c r="J1070" s="3"/>
    </row>
    <row r="1071" spans="6:10" ht="12.75" x14ac:dyDescent="0.2">
      <c r="F1071" s="3"/>
      <c r="G1071" s="3"/>
      <c r="H1071" s="3"/>
      <c r="I1071" s="3"/>
      <c r="J1071" s="3"/>
    </row>
    <row r="1072" spans="6:10" ht="12.75" x14ac:dyDescent="0.2">
      <c r="F1072" s="3"/>
      <c r="G1072" s="3"/>
      <c r="H1072" s="3"/>
      <c r="I1072" s="3"/>
      <c r="J1072" s="3"/>
    </row>
    <row r="1073" spans="6:10" ht="12.75" x14ac:dyDescent="0.2">
      <c r="F1073" s="3"/>
      <c r="G1073" s="3"/>
      <c r="H1073" s="3"/>
      <c r="I1073" s="3"/>
      <c r="J1073" s="3"/>
    </row>
    <row r="1074" spans="6:10" ht="12.75" x14ac:dyDescent="0.2">
      <c r="F1074" s="3"/>
      <c r="G1074" s="3"/>
      <c r="H1074" s="3"/>
      <c r="I1074" s="3"/>
      <c r="J1074" s="3"/>
    </row>
    <row r="1075" spans="6:10" ht="12.75" x14ac:dyDescent="0.2">
      <c r="F1075" s="3"/>
      <c r="G1075" s="3"/>
      <c r="H1075" s="3"/>
      <c r="I1075" s="3"/>
      <c r="J1075" s="3"/>
    </row>
    <row r="1076" spans="6:10" ht="12.75" x14ac:dyDescent="0.2">
      <c r="F1076" s="3"/>
      <c r="G1076" s="3"/>
      <c r="H1076" s="3"/>
      <c r="I1076" s="3"/>
      <c r="J1076" s="3"/>
    </row>
    <row r="1077" spans="6:10" ht="12.75" x14ac:dyDescent="0.2">
      <c r="F1077" s="3"/>
      <c r="G1077" s="3"/>
      <c r="H1077" s="3"/>
      <c r="I1077" s="3"/>
      <c r="J1077" s="3"/>
    </row>
    <row r="1078" spans="6:10" ht="12.75" x14ac:dyDescent="0.2">
      <c r="F1078" s="3"/>
      <c r="G1078" s="3"/>
      <c r="H1078" s="3"/>
      <c r="I1078" s="3"/>
      <c r="J1078" s="3"/>
    </row>
    <row r="1079" spans="6:10" ht="12.75" x14ac:dyDescent="0.2">
      <c r="F1079" s="3"/>
      <c r="G1079" s="3"/>
      <c r="H1079" s="3"/>
      <c r="I1079" s="3"/>
      <c r="J1079" s="3"/>
    </row>
    <row r="1080" spans="6:10" ht="12.75" x14ac:dyDescent="0.2">
      <c r="F1080" s="3"/>
      <c r="G1080" s="3"/>
      <c r="H1080" s="3"/>
      <c r="I1080" s="3"/>
      <c r="J1080" s="3"/>
    </row>
    <row r="1081" spans="6:10" ht="12.75" x14ac:dyDescent="0.2">
      <c r="F1081" s="3"/>
      <c r="G1081" s="3"/>
      <c r="H1081" s="3"/>
      <c r="I1081" s="3"/>
      <c r="J1081" s="3"/>
    </row>
    <row r="1082" spans="6:10" ht="12.75" x14ac:dyDescent="0.2">
      <c r="F1082" s="3"/>
      <c r="G1082" s="3"/>
      <c r="H1082" s="3"/>
      <c r="I1082" s="3"/>
      <c r="J1082" s="3"/>
    </row>
    <row r="1083" spans="6:10" ht="12.75" x14ac:dyDescent="0.2">
      <c r="F1083" s="3"/>
      <c r="G1083" s="3"/>
      <c r="H1083" s="3"/>
      <c r="I1083" s="3"/>
      <c r="J1083" s="3"/>
    </row>
    <row r="1084" spans="6:10" ht="12.75" x14ac:dyDescent="0.2">
      <c r="F1084" s="3"/>
      <c r="G1084" s="3"/>
      <c r="H1084" s="3"/>
      <c r="I1084" s="3"/>
      <c r="J1084" s="3"/>
    </row>
    <row r="1085" spans="6:10" ht="12.75" x14ac:dyDescent="0.2">
      <c r="F1085" s="3"/>
      <c r="G1085" s="3"/>
      <c r="H1085" s="3"/>
      <c r="I1085" s="3"/>
      <c r="J1085" s="3"/>
    </row>
    <row r="1086" spans="6:10" ht="12.75" x14ac:dyDescent="0.2">
      <c r="F1086" s="3"/>
      <c r="G1086" s="3"/>
      <c r="H1086" s="3"/>
      <c r="I1086" s="3"/>
      <c r="J1086" s="3"/>
    </row>
    <row r="1087" spans="6:10" ht="12.75" x14ac:dyDescent="0.2">
      <c r="F1087" s="3"/>
      <c r="G1087" s="3"/>
      <c r="H1087" s="3"/>
      <c r="I1087" s="3"/>
      <c r="J1087" s="3"/>
    </row>
    <row r="1088" spans="6:10" ht="12.75" x14ac:dyDescent="0.2">
      <c r="F1088" s="3"/>
      <c r="G1088" s="3"/>
      <c r="H1088" s="3"/>
      <c r="I1088" s="3"/>
      <c r="J1088" s="3"/>
    </row>
    <row r="1089" spans="6:10" ht="12.75" x14ac:dyDescent="0.2">
      <c r="F1089" s="3"/>
      <c r="G1089" s="3"/>
      <c r="H1089" s="3"/>
      <c r="I1089" s="3"/>
      <c r="J1089" s="3"/>
    </row>
    <row r="1090" spans="6:10" ht="12.75" x14ac:dyDescent="0.2">
      <c r="F1090" s="3"/>
      <c r="G1090" s="3"/>
      <c r="H1090" s="3"/>
      <c r="I1090" s="3"/>
      <c r="J1090" s="3"/>
    </row>
    <row r="1091" spans="6:10" ht="12.75" x14ac:dyDescent="0.2">
      <c r="F1091" s="3"/>
      <c r="G1091" s="3"/>
      <c r="H1091" s="3"/>
      <c r="I1091" s="3"/>
      <c r="J1091" s="3"/>
    </row>
    <row r="1092" spans="6:10" ht="12.75" x14ac:dyDescent="0.2">
      <c r="F1092" s="3"/>
      <c r="G1092" s="3"/>
      <c r="H1092" s="3"/>
      <c r="I1092" s="3"/>
      <c r="J1092" s="3"/>
    </row>
    <row r="1093" spans="6:10" ht="12.75" x14ac:dyDescent="0.2">
      <c r="F1093" s="3"/>
      <c r="G1093" s="3"/>
      <c r="H1093" s="3"/>
      <c r="I1093" s="3"/>
      <c r="J1093" s="3"/>
    </row>
    <row r="1094" spans="6:10" ht="12.75" x14ac:dyDescent="0.2">
      <c r="F1094" s="3"/>
      <c r="G1094" s="3"/>
      <c r="H1094" s="3"/>
      <c r="I1094" s="3"/>
      <c r="J1094" s="3"/>
    </row>
    <row r="1095" spans="6:10" ht="12.75" x14ac:dyDescent="0.2">
      <c r="F1095" s="3"/>
      <c r="G1095" s="3"/>
      <c r="H1095" s="3"/>
      <c r="I1095" s="3"/>
      <c r="J1095" s="3"/>
    </row>
    <row r="1096" spans="6:10" ht="12.75" x14ac:dyDescent="0.2">
      <c r="F1096" s="3"/>
      <c r="G1096" s="3"/>
      <c r="H1096" s="3"/>
      <c r="I1096" s="3"/>
      <c r="J1096" s="3"/>
    </row>
    <row r="1097" spans="6:10" ht="12.75" x14ac:dyDescent="0.2">
      <c r="F1097" s="3"/>
      <c r="G1097" s="3"/>
      <c r="H1097" s="3"/>
      <c r="I1097" s="3"/>
      <c r="J1097" s="3"/>
    </row>
    <row r="1098" spans="6:10" ht="12.75" x14ac:dyDescent="0.2">
      <c r="F1098" s="3"/>
      <c r="G1098" s="3"/>
      <c r="H1098" s="3"/>
      <c r="I1098" s="3"/>
      <c r="J1098" s="3"/>
    </row>
    <row r="1099" spans="6:10" ht="12.75" x14ac:dyDescent="0.2">
      <c r="F1099" s="3"/>
      <c r="G1099" s="3"/>
      <c r="H1099" s="3"/>
      <c r="I1099" s="3"/>
      <c r="J1099" s="3"/>
    </row>
    <row r="1100" spans="6:10" ht="12.75" x14ac:dyDescent="0.2">
      <c r="F1100" s="3"/>
      <c r="G1100" s="3"/>
      <c r="H1100" s="3"/>
      <c r="I1100" s="3"/>
      <c r="J1100" s="3"/>
    </row>
    <row r="1101" spans="6:10" ht="12.75" x14ac:dyDescent="0.2">
      <c r="F1101" s="3"/>
      <c r="G1101" s="3"/>
      <c r="H1101" s="3"/>
      <c r="I1101" s="3"/>
      <c r="J1101" s="3"/>
    </row>
    <row r="1102" spans="6:10" ht="12.75" x14ac:dyDescent="0.2">
      <c r="F1102" s="3"/>
      <c r="G1102" s="3"/>
      <c r="H1102" s="3"/>
      <c r="I1102" s="3"/>
      <c r="J1102" s="3"/>
    </row>
    <row r="1103" spans="6:10" ht="12.75" x14ac:dyDescent="0.2">
      <c r="F1103" s="3"/>
      <c r="G1103" s="3"/>
      <c r="H1103" s="3"/>
      <c r="I1103" s="3"/>
      <c r="J1103" s="3"/>
    </row>
    <row r="1104" spans="6:10" ht="12.75" x14ac:dyDescent="0.2">
      <c r="F1104" s="3"/>
      <c r="G1104" s="3"/>
      <c r="H1104" s="3"/>
      <c r="I1104" s="3"/>
      <c r="J1104" s="3"/>
    </row>
    <row r="1105" spans="6:10" ht="12.75" x14ac:dyDescent="0.2">
      <c r="F1105" s="3"/>
      <c r="G1105" s="3"/>
      <c r="H1105" s="3"/>
      <c r="I1105" s="3"/>
      <c r="J1105" s="3"/>
    </row>
    <row r="1106" spans="6:10" ht="12.75" x14ac:dyDescent="0.2">
      <c r="F1106" s="3"/>
      <c r="G1106" s="3"/>
      <c r="H1106" s="3"/>
      <c r="I1106" s="3"/>
      <c r="J1106" s="3"/>
    </row>
    <row r="1107" spans="6:10" ht="12.75" x14ac:dyDescent="0.2">
      <c r="F1107" s="3"/>
      <c r="G1107" s="3"/>
      <c r="H1107" s="3"/>
      <c r="I1107" s="3"/>
      <c r="J1107" s="3"/>
    </row>
    <row r="1108" spans="6:10" ht="12.75" x14ac:dyDescent="0.2">
      <c r="F1108" s="3"/>
      <c r="G1108" s="3"/>
      <c r="H1108" s="3"/>
      <c r="I1108" s="3"/>
      <c r="J1108" s="3"/>
    </row>
    <row r="1109" spans="6:10" ht="12.75" x14ac:dyDescent="0.2">
      <c r="F1109" s="3"/>
      <c r="G1109" s="3"/>
      <c r="H1109" s="3"/>
      <c r="I1109" s="3"/>
      <c r="J1109" s="3"/>
    </row>
    <row r="1110" spans="6:10" ht="12.75" x14ac:dyDescent="0.2">
      <c r="F1110" s="3"/>
      <c r="G1110" s="3"/>
      <c r="H1110" s="3"/>
      <c r="I1110" s="3"/>
      <c r="J1110" s="3"/>
    </row>
    <row r="1111" spans="6:10" ht="12.75" x14ac:dyDescent="0.2">
      <c r="F1111" s="3"/>
      <c r="G1111" s="3"/>
      <c r="H1111" s="3"/>
      <c r="I1111" s="3"/>
      <c r="J1111" s="3"/>
    </row>
    <row r="1112" spans="6:10" ht="12.75" x14ac:dyDescent="0.2">
      <c r="F1112" s="3"/>
      <c r="G1112" s="3"/>
      <c r="H1112" s="3"/>
      <c r="I1112" s="3"/>
      <c r="J1112" s="3"/>
    </row>
    <row r="1113" spans="6:10" ht="12.75" x14ac:dyDescent="0.2">
      <c r="F1113" s="3"/>
      <c r="G1113" s="3"/>
      <c r="H1113" s="3"/>
      <c r="I1113" s="3"/>
      <c r="J1113" s="3"/>
    </row>
    <row r="1114" spans="6:10" ht="12.75" x14ac:dyDescent="0.2">
      <c r="F1114" s="3"/>
      <c r="G1114" s="3"/>
      <c r="H1114" s="3"/>
      <c r="I1114" s="3"/>
      <c r="J1114" s="3"/>
    </row>
    <row r="1115" spans="6:10" ht="12.75" x14ac:dyDescent="0.2">
      <c r="F1115" s="3"/>
      <c r="G1115" s="3"/>
      <c r="H1115" s="3"/>
      <c r="I1115" s="3"/>
      <c r="J1115" s="3"/>
    </row>
    <row r="1116" spans="6:10" ht="12.75" x14ac:dyDescent="0.2">
      <c r="F1116" s="3"/>
      <c r="G1116" s="3"/>
      <c r="H1116" s="3"/>
      <c r="I1116" s="3"/>
      <c r="J1116" s="3"/>
    </row>
    <row r="1117" spans="6:10" ht="12.75" x14ac:dyDescent="0.2">
      <c r="F1117" s="3"/>
      <c r="G1117" s="3"/>
      <c r="H1117" s="3"/>
      <c r="I1117" s="3"/>
      <c r="J1117" s="3"/>
    </row>
    <row r="1118" spans="6:10" ht="12.75" x14ac:dyDescent="0.2">
      <c r="F1118" s="3"/>
      <c r="G1118" s="3"/>
      <c r="H1118" s="3"/>
      <c r="I1118" s="3"/>
      <c r="J1118" s="3"/>
    </row>
    <row r="1119" spans="6:10" ht="12.75" x14ac:dyDescent="0.2">
      <c r="F1119" s="3"/>
      <c r="G1119" s="3"/>
      <c r="H1119" s="3"/>
      <c r="I1119" s="3"/>
      <c r="J1119" s="3"/>
    </row>
    <row r="1120" spans="6:10" ht="12.75" x14ac:dyDescent="0.2">
      <c r="F1120" s="3"/>
      <c r="G1120" s="3"/>
      <c r="H1120" s="3"/>
      <c r="I1120" s="3"/>
      <c r="J1120" s="3"/>
    </row>
    <row r="1121" spans="6:10" ht="12.75" x14ac:dyDescent="0.2">
      <c r="F1121" s="3"/>
      <c r="G1121" s="3"/>
      <c r="H1121" s="3"/>
      <c r="I1121" s="3"/>
      <c r="J1121" s="3"/>
    </row>
    <row r="1122" spans="6:10" ht="12.75" x14ac:dyDescent="0.2">
      <c r="F1122" s="3"/>
      <c r="G1122" s="3"/>
      <c r="H1122" s="3"/>
      <c r="I1122" s="3"/>
      <c r="J1122" s="3"/>
    </row>
    <row r="1123" spans="6:10" ht="12.75" x14ac:dyDescent="0.2">
      <c r="F1123" s="3"/>
      <c r="G1123" s="3"/>
      <c r="H1123" s="3"/>
      <c r="I1123" s="3"/>
      <c r="J1123" s="3"/>
    </row>
    <row r="1124" spans="6:10" ht="12.75" x14ac:dyDescent="0.2">
      <c r="F1124" s="3"/>
      <c r="G1124" s="3"/>
      <c r="H1124" s="3"/>
      <c r="I1124" s="3"/>
      <c r="J1124" s="3"/>
    </row>
    <row r="1125" spans="6:10" ht="12.75" x14ac:dyDescent="0.2">
      <c r="F1125" s="3"/>
      <c r="G1125" s="3"/>
      <c r="H1125" s="3"/>
      <c r="I1125" s="3"/>
      <c r="J1125" s="3"/>
    </row>
    <row r="1126" spans="6:10" ht="12.75" x14ac:dyDescent="0.2">
      <c r="F1126" s="3"/>
      <c r="G1126" s="3"/>
      <c r="H1126" s="3"/>
      <c r="I1126" s="3"/>
      <c r="J1126" s="3"/>
    </row>
    <row r="1127" spans="6:10" ht="12.75" x14ac:dyDescent="0.2">
      <c r="F1127" s="3"/>
      <c r="G1127" s="3"/>
      <c r="H1127" s="3"/>
      <c r="I1127" s="3"/>
      <c r="J1127" s="3"/>
    </row>
    <row r="1128" spans="6:10" ht="12.75" x14ac:dyDescent="0.2">
      <c r="F1128" s="3"/>
      <c r="G1128" s="3"/>
      <c r="H1128" s="3"/>
      <c r="I1128" s="3"/>
      <c r="J1128" s="3"/>
    </row>
    <row r="1129" spans="6:10" ht="12.75" x14ac:dyDescent="0.2">
      <c r="F1129" s="3"/>
      <c r="G1129" s="3"/>
      <c r="H1129" s="3"/>
      <c r="I1129" s="3"/>
      <c r="J1129" s="3"/>
    </row>
    <row r="1130" spans="6:10" ht="12.75" x14ac:dyDescent="0.2">
      <c r="F1130" s="3"/>
      <c r="G1130" s="3"/>
      <c r="H1130" s="3"/>
      <c r="I1130" s="3"/>
      <c r="J1130" s="3"/>
    </row>
    <row r="1131" spans="6:10" ht="12.75" x14ac:dyDescent="0.2">
      <c r="F1131" s="3"/>
      <c r="G1131" s="3"/>
      <c r="H1131" s="3"/>
      <c r="I1131" s="3"/>
      <c r="J1131" s="3"/>
    </row>
    <row r="1132" spans="6:10" ht="12.75" x14ac:dyDescent="0.2">
      <c r="F1132" s="3"/>
      <c r="G1132" s="3"/>
      <c r="H1132" s="3"/>
      <c r="I1132" s="3"/>
      <c r="J1132" s="3"/>
    </row>
    <row r="1133" spans="6:10" ht="12.75" x14ac:dyDescent="0.2">
      <c r="F1133" s="3"/>
      <c r="G1133" s="3"/>
      <c r="H1133" s="3"/>
      <c r="I1133" s="3"/>
      <c r="J1133" s="3"/>
    </row>
    <row r="1134" spans="6:10" ht="12.75" x14ac:dyDescent="0.2">
      <c r="F1134" s="3"/>
      <c r="G1134" s="3"/>
      <c r="H1134" s="3"/>
      <c r="I1134" s="3"/>
      <c r="J1134" s="3"/>
    </row>
    <row r="1135" spans="6:10" ht="12.75" x14ac:dyDescent="0.2">
      <c r="F1135" s="3"/>
      <c r="G1135" s="3"/>
      <c r="H1135" s="3"/>
      <c r="I1135" s="3"/>
      <c r="J1135" s="3"/>
    </row>
    <row r="1136" spans="6:10" ht="12.75" x14ac:dyDescent="0.2">
      <c r="F1136" s="3"/>
      <c r="G1136" s="3"/>
      <c r="H1136" s="3"/>
      <c r="I1136" s="3"/>
      <c r="J1136" s="3"/>
    </row>
    <row r="1137" spans="6:10" ht="12.75" x14ac:dyDescent="0.2">
      <c r="F1137" s="3"/>
      <c r="G1137" s="3"/>
      <c r="H1137" s="3"/>
      <c r="I1137" s="3"/>
      <c r="J1137" s="3"/>
    </row>
    <row r="1138" spans="6:10" ht="12.75" x14ac:dyDescent="0.2">
      <c r="F1138" s="3"/>
      <c r="G1138" s="3"/>
      <c r="H1138" s="3"/>
      <c r="I1138" s="3"/>
      <c r="J1138" s="3"/>
    </row>
    <row r="1139" spans="6:10" ht="12.75" x14ac:dyDescent="0.2">
      <c r="F1139" s="3"/>
      <c r="G1139" s="3"/>
      <c r="H1139" s="3"/>
      <c r="I1139" s="3"/>
      <c r="J1139" s="3"/>
    </row>
    <row r="1140" spans="6:10" ht="12.75" x14ac:dyDescent="0.2">
      <c r="F1140" s="3"/>
      <c r="G1140" s="3"/>
      <c r="H1140" s="3"/>
      <c r="I1140" s="3"/>
      <c r="J1140" s="3"/>
    </row>
    <row r="1141" spans="6:10" ht="12.75" x14ac:dyDescent="0.2">
      <c r="F1141" s="3"/>
      <c r="G1141" s="3"/>
      <c r="H1141" s="3"/>
      <c r="I1141" s="3"/>
      <c r="J1141" s="3"/>
    </row>
    <row r="1142" spans="6:10" ht="12.75" x14ac:dyDescent="0.2">
      <c r="F1142" s="3"/>
      <c r="G1142" s="3"/>
      <c r="H1142" s="3"/>
      <c r="I1142" s="3"/>
      <c r="J1142" s="3"/>
    </row>
    <row r="1143" spans="6:10" ht="12.75" x14ac:dyDescent="0.2">
      <c r="F1143" s="3"/>
      <c r="G1143" s="3"/>
      <c r="H1143" s="3"/>
      <c r="I1143" s="3"/>
      <c r="J1143" s="3"/>
    </row>
    <row r="1144" spans="6:10" ht="12.75" x14ac:dyDescent="0.2">
      <c r="F1144" s="3"/>
      <c r="G1144" s="3"/>
      <c r="H1144" s="3"/>
      <c r="I1144" s="3"/>
      <c r="J1144" s="3"/>
    </row>
    <row r="1145" spans="6:10" ht="12.75" x14ac:dyDescent="0.2">
      <c r="F1145" s="3"/>
      <c r="G1145" s="3"/>
      <c r="H1145" s="3"/>
      <c r="I1145" s="3"/>
      <c r="J1145" s="3"/>
    </row>
    <row r="1146" spans="6:10" ht="12.75" x14ac:dyDescent="0.2">
      <c r="F1146" s="3"/>
      <c r="G1146" s="3"/>
      <c r="H1146" s="3"/>
      <c r="I1146" s="3"/>
      <c r="J1146" s="3"/>
    </row>
    <row r="1147" spans="6:10" ht="12.75" x14ac:dyDescent="0.2">
      <c r="F1147" s="3"/>
      <c r="G1147" s="3"/>
      <c r="H1147" s="3"/>
      <c r="I1147" s="3"/>
      <c r="J1147" s="3"/>
    </row>
    <row r="1148" spans="6:10" ht="12.75" x14ac:dyDescent="0.2">
      <c r="F1148" s="3"/>
      <c r="G1148" s="3"/>
      <c r="H1148" s="3"/>
      <c r="I1148" s="3"/>
      <c r="J1148" s="3"/>
    </row>
    <row r="1149" spans="6:10" ht="12.75" x14ac:dyDescent="0.2">
      <c r="F1149" s="3"/>
      <c r="G1149" s="3"/>
      <c r="H1149" s="3"/>
      <c r="I1149" s="3"/>
      <c r="J1149" s="3"/>
    </row>
    <row r="1150" spans="6:10" ht="12.75" x14ac:dyDescent="0.2">
      <c r="F1150" s="3"/>
      <c r="G1150" s="3"/>
      <c r="H1150" s="3"/>
      <c r="I1150" s="3"/>
      <c r="J1150" s="3"/>
    </row>
    <row r="1151" spans="6:10" ht="12.75" x14ac:dyDescent="0.2">
      <c r="F1151" s="3"/>
      <c r="G1151" s="3"/>
      <c r="H1151" s="3"/>
      <c r="I1151" s="3"/>
      <c r="J1151" s="3"/>
    </row>
    <row r="1152" spans="6:10" ht="12.75" x14ac:dyDescent="0.2">
      <c r="F1152" s="3"/>
      <c r="G1152" s="3"/>
      <c r="H1152" s="3"/>
      <c r="I1152" s="3"/>
      <c r="J1152" s="3"/>
    </row>
    <row r="1153" spans="6:10" ht="12.75" x14ac:dyDescent="0.2">
      <c r="F1153" s="3"/>
      <c r="G1153" s="3"/>
      <c r="H1153" s="3"/>
      <c r="I1153" s="3"/>
      <c r="J1153" s="3"/>
    </row>
    <row r="1154" spans="6:10" ht="12.75" x14ac:dyDescent="0.2">
      <c r="F1154" s="3"/>
      <c r="G1154" s="3"/>
      <c r="H1154" s="3"/>
      <c r="I1154" s="3"/>
      <c r="J1154" s="3"/>
    </row>
    <row r="1155" spans="6:10" ht="12.75" x14ac:dyDescent="0.2">
      <c r="F1155" s="3"/>
      <c r="G1155" s="3"/>
      <c r="H1155" s="3"/>
      <c r="I1155" s="3"/>
      <c r="J1155" s="3"/>
    </row>
    <row r="1156" spans="6:10" ht="12.75" x14ac:dyDescent="0.2">
      <c r="F1156" s="3"/>
      <c r="G1156" s="3"/>
      <c r="H1156" s="3"/>
      <c r="I1156" s="3"/>
      <c r="J1156" s="3"/>
    </row>
    <row r="1157" spans="6:10" ht="12.75" x14ac:dyDescent="0.2">
      <c r="F1157" s="3"/>
      <c r="G1157" s="3"/>
      <c r="H1157" s="3"/>
      <c r="I1157" s="3"/>
      <c r="J1157" s="3"/>
    </row>
    <row r="1158" spans="6:10" ht="12.75" x14ac:dyDescent="0.2">
      <c r="F1158" s="3"/>
      <c r="G1158" s="3"/>
      <c r="H1158" s="3"/>
      <c r="I1158" s="3"/>
      <c r="J1158" s="3"/>
    </row>
    <row r="1159" spans="6:10" ht="12.75" x14ac:dyDescent="0.2">
      <c r="F1159" s="3"/>
      <c r="G1159" s="3"/>
      <c r="H1159" s="3"/>
      <c r="I1159" s="3"/>
      <c r="J1159" s="3"/>
    </row>
  </sheetData>
  <mergeCells count="130">
    <mergeCell ref="C2:C5"/>
    <mergeCell ref="F2:J3"/>
    <mergeCell ref="F10:J10"/>
    <mergeCell ref="F11:J11"/>
    <mergeCell ref="F12:J12"/>
    <mergeCell ref="F13:J13"/>
    <mergeCell ref="F16:J16"/>
    <mergeCell ref="F17:J17"/>
    <mergeCell ref="F18:J18"/>
    <mergeCell ref="F19:J19"/>
    <mergeCell ref="F22:J22"/>
    <mergeCell ref="F23:J23"/>
    <mergeCell ref="F24:J24"/>
    <mergeCell ref="F25:J25"/>
    <mergeCell ref="F28:J28"/>
    <mergeCell ref="F29:J29"/>
    <mergeCell ref="F30:J30"/>
    <mergeCell ref="F31:J31"/>
    <mergeCell ref="F36:J36"/>
    <mergeCell ref="F37:J37"/>
    <mergeCell ref="F38:J38"/>
    <mergeCell ref="F39:J39"/>
    <mergeCell ref="F42:J42"/>
    <mergeCell ref="F43:J43"/>
    <mergeCell ref="F44:J44"/>
    <mergeCell ref="F45:J45"/>
    <mergeCell ref="F48:J48"/>
    <mergeCell ref="F49:J49"/>
    <mergeCell ref="F50:J50"/>
    <mergeCell ref="F51:J51"/>
    <mergeCell ref="F54:J54"/>
    <mergeCell ref="F55:J55"/>
    <mergeCell ref="F56:J56"/>
    <mergeCell ref="F57:J57"/>
    <mergeCell ref="F60:J60"/>
    <mergeCell ref="F61:J61"/>
    <mergeCell ref="F62:J62"/>
    <mergeCell ref="F63:J63"/>
    <mergeCell ref="F68:J68"/>
    <mergeCell ref="F69:J69"/>
    <mergeCell ref="F70:J70"/>
    <mergeCell ref="F71:J71"/>
    <mergeCell ref="F76:J76"/>
    <mergeCell ref="F77:J77"/>
    <mergeCell ref="F78:J78"/>
    <mergeCell ref="F79:J79"/>
    <mergeCell ref="F82:J82"/>
    <mergeCell ref="F83:J83"/>
    <mergeCell ref="F84:J84"/>
    <mergeCell ref="F170:J170"/>
    <mergeCell ref="F171:J171"/>
    <mergeCell ref="F172:J172"/>
    <mergeCell ref="F173:J173"/>
    <mergeCell ref="F176:J176"/>
    <mergeCell ref="F85:J85"/>
    <mergeCell ref="F88:J88"/>
    <mergeCell ref="F89:J89"/>
    <mergeCell ref="F90:J90"/>
    <mergeCell ref="F91:J91"/>
    <mergeCell ref="F96:J96"/>
    <mergeCell ref="F97:J97"/>
    <mergeCell ref="F98:J98"/>
    <mergeCell ref="F99:J99"/>
    <mergeCell ref="F102:J102"/>
    <mergeCell ref="F103:J103"/>
    <mergeCell ref="F104:J104"/>
    <mergeCell ref="F105:J105"/>
    <mergeCell ref="F110:J110"/>
    <mergeCell ref="F111:J111"/>
    <mergeCell ref="F177:J177"/>
    <mergeCell ref="F178:J178"/>
    <mergeCell ref="F179:J179"/>
    <mergeCell ref="F182:J182"/>
    <mergeCell ref="F183:J183"/>
    <mergeCell ref="F184:J184"/>
    <mergeCell ref="F185:J185"/>
    <mergeCell ref="F190:J190"/>
    <mergeCell ref="F191:J191"/>
    <mergeCell ref="F192:J192"/>
    <mergeCell ref="F193:J193"/>
    <mergeCell ref="F196:J196"/>
    <mergeCell ref="F197:J197"/>
    <mergeCell ref="F198:J198"/>
    <mergeCell ref="F199:J199"/>
    <mergeCell ref="F204:J204"/>
    <mergeCell ref="F216:J216"/>
    <mergeCell ref="F217:J217"/>
    <mergeCell ref="F218:J218"/>
    <mergeCell ref="F219:J219"/>
    <mergeCell ref="F205:J205"/>
    <mergeCell ref="F206:J206"/>
    <mergeCell ref="F207:J207"/>
    <mergeCell ref="F210:J210"/>
    <mergeCell ref="F211:J211"/>
    <mergeCell ref="F212:J212"/>
    <mergeCell ref="F213:J213"/>
    <mergeCell ref="F112:J112"/>
    <mergeCell ref="F113:J113"/>
    <mergeCell ref="F116:J116"/>
    <mergeCell ref="F117:J117"/>
    <mergeCell ref="F118:J118"/>
    <mergeCell ref="F119:J119"/>
    <mergeCell ref="F122:J122"/>
    <mergeCell ref="F123:J123"/>
    <mergeCell ref="F124:J124"/>
    <mergeCell ref="F125:J125"/>
    <mergeCell ref="F130:J130"/>
    <mergeCell ref="F131:J131"/>
    <mergeCell ref="F132:J132"/>
    <mergeCell ref="F133:J133"/>
    <mergeCell ref="F138:J138"/>
    <mergeCell ref="F139:J139"/>
    <mergeCell ref="F140:J140"/>
    <mergeCell ref="F141:J141"/>
    <mergeCell ref="F159:J159"/>
    <mergeCell ref="F160:J160"/>
    <mergeCell ref="F161:J161"/>
    <mergeCell ref="F164:J164"/>
    <mergeCell ref="F165:J165"/>
    <mergeCell ref="F166:J166"/>
    <mergeCell ref="F167:J167"/>
    <mergeCell ref="F144:J144"/>
    <mergeCell ref="F145:J145"/>
    <mergeCell ref="F146:J146"/>
    <mergeCell ref="F147:J147"/>
    <mergeCell ref="F152:J152"/>
    <mergeCell ref="F153:J153"/>
    <mergeCell ref="F154:J154"/>
    <mergeCell ref="F155:J155"/>
    <mergeCell ref="F158:J158"/>
  </mergeCells>
  <conditionalFormatting sqref="N6:N107 C7 C33 C65 C73 C93 C107 C115:C119 C121:C127 C135 C148:C149 C187 C201">
    <cfRule type="expression" dxfId="0" priority="1">
      <formula>Q6 &lt;X6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Vokueva Yuliya</dc:creator>
  <cp:lastModifiedBy>Игнатьев Андрей</cp:lastModifiedBy>
  <dcterms:created xsi:type="dcterms:W3CDTF">2025-08-29T08:57:37Z</dcterms:created>
  <dcterms:modified xsi:type="dcterms:W3CDTF">2026-10-12T15:31:49Z</dcterms:modified>
</cp:coreProperties>
</file>